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sionina_ov\Desktop\"/>
    </mc:Choice>
  </mc:AlternateContent>
  <xr:revisionPtr revIDLastSave="0" documentId="13_ncr:1_{D1D7F0EC-5B16-47E7-B913-34C00E33A736}" xr6:coauthVersionLast="47" xr6:coauthVersionMax="47" xr10:uidLastSave="{00000000-0000-0000-0000-000000000000}"/>
  <bookViews>
    <workbookView xWindow="12915" yWindow="2970" windowWidth="22365" windowHeight="14445" xr2:uid="{5A38E164-F2F7-47AE-A1B3-AE0BC32B359D}"/>
  </bookViews>
  <sheets>
    <sheet name="Опросный лист" sheetId="3" r:id="rId1"/>
    <sheet name="Диапазоны" sheetId="2" r:id="rId2"/>
  </sheets>
  <definedNames>
    <definedName name="_xlnm._FilterDatabase" localSheetId="0" hidden="1">'Опросный лист'!$B$7:$C$24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3" l="1"/>
  <c r="D8" i="3" s="1"/>
  <c r="D18" i="3" l="1"/>
  <c r="D21" i="3"/>
  <c r="D10" i="3"/>
  <c r="D9" i="3"/>
  <c r="D22" i="3"/>
  <c r="D11" i="3"/>
  <c r="D7" i="3"/>
  <c r="D16" i="3"/>
  <c r="D24" i="3"/>
  <c r="D20" i="3"/>
  <c r="D13" i="3"/>
  <c r="D23" i="3"/>
  <c r="D12" i="3"/>
</calcChain>
</file>

<file path=xl/sharedStrings.xml><?xml version="1.0" encoding="utf-8"?>
<sst xmlns="http://schemas.openxmlformats.org/spreadsheetml/2006/main" count="162" uniqueCount="107">
  <si>
    <t>Заказчик</t>
  </si>
  <si>
    <t>Площадка</t>
  </si>
  <si>
    <t>Система</t>
  </si>
  <si>
    <t>Интегратор</t>
  </si>
  <si>
    <t>DI</t>
  </si>
  <si>
    <t>DO</t>
  </si>
  <si>
    <t>AI</t>
  </si>
  <si>
    <t>AO</t>
  </si>
  <si>
    <t>Да</t>
  </si>
  <si>
    <t>Нет</t>
  </si>
  <si>
    <t>Коммуникационные драйверы</t>
  </si>
  <si>
    <t>Лицензионные ключи</t>
  </si>
  <si>
    <t>Срок технической поддержки</t>
  </si>
  <si>
    <t>1 год</t>
  </si>
  <si>
    <t>Операционная система</t>
  </si>
  <si>
    <t>Windows/Linux</t>
  </si>
  <si>
    <t xml:space="preserve">Количество внешних тегов </t>
  </si>
  <si>
    <t>Программный</t>
  </si>
  <si>
    <t>Резервирование серверов</t>
  </si>
  <si>
    <t>Структура системы</t>
  </si>
  <si>
    <t>Клиенты</t>
  </si>
  <si>
    <t>История</t>
  </si>
  <si>
    <t>Да/Нет</t>
  </si>
  <si>
    <t>Windows</t>
  </si>
  <si>
    <t>Linux</t>
  </si>
  <si>
    <t>Аппаратный</t>
  </si>
  <si>
    <t>Отчёты</t>
  </si>
  <si>
    <t xml:space="preserve"> ...или сигналов с разбивкой то типам</t>
  </si>
  <si>
    <t>Разное</t>
  </si>
  <si>
    <t>2 года</t>
  </si>
  <si>
    <t>3 года</t>
  </si>
  <si>
    <t>…</t>
  </si>
  <si>
    <t>Информация о проекте</t>
  </si>
  <si>
    <t>Опросный лист Атомик Софт</t>
  </si>
  <si>
    <t>цифровые сигналы</t>
  </si>
  <si>
    <t>Тегов в/в</t>
  </si>
  <si>
    <t>Более 2М</t>
  </si>
  <si>
    <t>Тегов истории</t>
  </si>
  <si>
    <t>Web-клиентов</t>
  </si>
  <si>
    <t>Без ограничений</t>
  </si>
  <si>
    <t>Отчеты теги</t>
  </si>
  <si>
    <t>Отчёты клиенты</t>
  </si>
  <si>
    <t>Да (входит во все продукты)</t>
  </si>
  <si>
    <r>
      <rPr>
        <sz val="14"/>
        <color theme="1"/>
        <rFont val="Calibri"/>
        <family val="2"/>
        <charset val="204"/>
        <scheme val="minor"/>
      </rPr>
      <t xml:space="preserve">… </t>
    </r>
    <r>
      <rPr>
        <sz val="12"/>
        <color theme="1"/>
        <rFont val="Calibri"/>
        <family val="2"/>
        <charset val="204"/>
        <scheme val="minor"/>
      </rPr>
      <t>Modbus, SNMP, OPC и т.д.</t>
    </r>
  </si>
  <si>
    <t>… выберите ближайшее или введите вручную</t>
  </si>
  <si>
    <t>Операторский функционал на сервере</t>
  </si>
  <si>
    <t>Дискретность</t>
  </si>
  <si>
    <t>до 1 сек. и выше</t>
  </si>
  <si>
    <t>до 50 мсек.</t>
  </si>
  <si>
    <t>до 500 мсек.</t>
  </si>
  <si>
    <t>Количество терминальных клиентов</t>
  </si>
  <si>
    <t>Выделенный Web-сервер</t>
  </si>
  <si>
    <t>Сервер истории</t>
  </si>
  <si>
    <t>Количество тегов для записи в историю</t>
  </si>
  <si>
    <t>Базовый пакет</t>
  </si>
  <si>
    <t>Дополнительные требования к драйверам</t>
  </si>
  <si>
    <t xml:space="preserve">Сервер отчётов </t>
  </si>
  <si>
    <t>Количество тегов</t>
  </si>
  <si>
    <t>Количество клиентов</t>
  </si>
  <si>
    <t xml:space="preserve">Резервирование сервера отчётов </t>
  </si>
  <si>
    <t>Лицензионный ключ</t>
  </si>
  <si>
    <t>OPC-DA</t>
  </si>
  <si>
    <t>OPC DA клиент</t>
  </si>
  <si>
    <t>OPC DA сервер</t>
  </si>
  <si>
    <t>OPC DA клиент/сервер</t>
  </si>
  <si>
    <t>Количество Web-клиентов (только чтение)</t>
  </si>
  <si>
    <t>Количество настольных (полных) клиентов</t>
  </si>
  <si>
    <t>Клиент/сервер OPC DA</t>
  </si>
  <si>
    <t>Дополнительные требования</t>
  </si>
  <si>
    <t xml:space="preserve"> … комментарии</t>
  </si>
  <si>
    <t>Уровень ТП</t>
  </si>
  <si>
    <t>ТП</t>
  </si>
  <si>
    <t>Стандарт</t>
  </si>
  <si>
    <t>Оптимальный</t>
  </si>
  <si>
    <t>Премиум</t>
  </si>
  <si>
    <t>Обучение</t>
  </si>
  <si>
    <t>Да, онлайн</t>
  </si>
  <si>
    <t>Да, очно в СпБ</t>
  </si>
  <si>
    <t>Да, очно в Томске</t>
  </si>
  <si>
    <t>&gt; 3 лет</t>
  </si>
  <si>
    <t>Бесплатный. Уровень Базовый</t>
  </si>
  <si>
    <t>Срок действия</t>
  </si>
  <si>
    <t>Интегр. сервер история</t>
  </si>
  <si>
    <t>Трансляция истории с нижестоящего уровня</t>
  </si>
  <si>
    <t>Количество OPC DA клиентов</t>
  </si>
  <si>
    <t>Количество OPC DA серверов</t>
  </si>
  <si>
    <t>Выделенный OPC DA клиент/сервер</t>
  </si>
  <si>
    <t>Техническая поддержка</t>
  </si>
  <si>
    <t>Нет, Базовый уровень</t>
  </si>
  <si>
    <t>Уровень SLA</t>
  </si>
  <si>
    <t>Пакет Энергетический 
(включен в Alpha.SCADA и Alpha.Platform)</t>
  </si>
  <si>
    <t>Пакет Индустриальный
(включен в Alpha.Platform)</t>
  </si>
  <si>
    <t>Резервирование сервера истории</t>
  </si>
  <si>
    <t>Alpha.One+ (один или несколько 
независимых АРМ/панелей оператора)</t>
  </si>
  <si>
    <t>Тип системы, комплект</t>
  </si>
  <si>
    <t>Серверы</t>
  </si>
  <si>
    <t xml:space="preserve">Alpha.SCADA (резервированный АРМ и/или клиент-серверная) </t>
  </si>
  <si>
    <t>Количество АРМ/панелей оператора</t>
  </si>
  <si>
    <t>Количество серверов</t>
  </si>
  <si>
    <t xml:space="preserve">Alpha.Platform (распределённая или многоуровневая, мультисерверная структура) </t>
  </si>
  <si>
    <t>Имеются дополнительные требования? Опишите их своими словами</t>
  </si>
  <si>
    <t>Если есть структурная схема проекта, просим прикладывать её вместе с опросным листом.
Всё наше ПО (сервер ввода/вывода, истории, отчётов, а также их клиентские части), могут быть расположены как на одном физическом (виртуальном) сервере, так и разнесены по разным.</t>
  </si>
  <si>
    <t>*</t>
  </si>
  <si>
    <t>Располагается на выделенном сервере</t>
  </si>
  <si>
    <t>Располагается в выделенном сервере</t>
  </si>
  <si>
    <t xml:space="preserve"> … выберите подходящий тип системы</t>
  </si>
  <si>
    <t>Если появляющаяся подсказка мешает просмотру текста, передвиньте её мышкой в сторону. Последующие подсказки будут появляться в новом месте.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</si>
</sst>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3F3F3F"/>
      <name val="Calibri"/>
      <family val="2"/>
      <charset val="204"/>
      <scheme val="minor"/>
    </font>
    <font>
      <sz val="12"/>
      <color rgb="FF3F3F3F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D9"/>
        <bgColor indexed="64"/>
      </patternFill>
    </fill>
  </fills>
  <borders count="5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ck">
        <color indexed="64"/>
      </right>
      <top style="thin">
        <color rgb="FF3F3F3F"/>
      </top>
      <bottom/>
      <diagonal/>
    </border>
    <border>
      <left style="thick">
        <color indexed="64"/>
      </left>
      <right style="thin">
        <color rgb="FF3F3F3F"/>
      </right>
      <top/>
      <bottom/>
      <diagonal/>
    </border>
    <border>
      <left style="thin">
        <color rgb="FF3F3F3F"/>
      </left>
      <right style="thick">
        <color indexed="64"/>
      </right>
      <top/>
      <bottom style="thin">
        <color rgb="FF3F3F3F"/>
      </bottom>
      <diagonal/>
    </border>
    <border>
      <left style="thick">
        <color indexed="64"/>
      </left>
      <right style="thin">
        <color rgb="FF3F3F3F"/>
      </right>
      <top style="thin">
        <color rgb="FF3F3F3F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ck">
        <color indexed="64"/>
      </right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/>
      <bottom style="thin">
        <color rgb="FF3F3F3F"/>
      </bottom>
      <diagonal/>
    </border>
    <border>
      <left style="thick">
        <color indexed="64"/>
      </left>
      <right/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 style="thin">
        <color rgb="FF3F3F3F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rgb="FF3F3F3F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rgb="FF3F3F3F"/>
      </bottom>
      <diagonal/>
    </border>
    <border>
      <left/>
      <right style="thick">
        <color indexed="64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ck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thick">
        <color indexed="64"/>
      </right>
      <top style="thin">
        <color rgb="FF3F3F3F"/>
      </top>
      <bottom style="thin">
        <color indexed="64"/>
      </bottom>
      <diagonal/>
    </border>
    <border>
      <left style="thick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Protection="1">
      <protection locked="0"/>
    </xf>
    <xf numFmtId="0" fontId="2" fillId="2" borderId="2" xfId="1" applyBorder="1" applyProtection="1"/>
    <xf numFmtId="0" fontId="2" fillId="2" borderId="0" xfId="1" applyBorder="1" applyProtection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0" xfId="0" applyAlignment="1">
      <alignment wrapText="1"/>
    </xf>
    <xf numFmtId="0" fontId="5" fillId="5" borderId="18" xfId="1" applyFont="1" applyFill="1" applyBorder="1" applyAlignment="1" applyProtection="1">
      <alignment horizontal="left" indent="2"/>
    </xf>
    <xf numFmtId="0" fontId="5" fillId="5" borderId="19" xfId="1" applyFont="1" applyFill="1" applyBorder="1" applyAlignment="1" applyProtection="1">
      <alignment horizontal="left" indent="2"/>
    </xf>
    <xf numFmtId="0" fontId="5" fillId="5" borderId="5" xfId="1" applyFont="1" applyFill="1" applyBorder="1" applyAlignment="1" applyProtection="1">
      <alignment horizontal="left" indent="2"/>
      <protection locked="0"/>
    </xf>
    <xf numFmtId="0" fontId="5" fillId="5" borderId="7" xfId="1" applyFont="1" applyFill="1" applyBorder="1" applyAlignment="1" applyProtection="1">
      <alignment horizontal="left" indent="2"/>
      <protection locked="0"/>
    </xf>
    <xf numFmtId="0" fontId="5" fillId="5" borderId="9" xfId="1" applyFont="1" applyFill="1" applyBorder="1" applyAlignment="1" applyProtection="1">
      <alignment horizontal="left" indent="2"/>
      <protection locked="0"/>
    </xf>
    <xf numFmtId="0" fontId="5" fillId="5" borderId="11" xfId="1" applyFont="1" applyFill="1" applyBorder="1" applyAlignment="1" applyProtection="1">
      <alignment horizontal="left" indent="2"/>
      <protection locked="0"/>
    </xf>
    <xf numFmtId="0" fontId="5" fillId="5" borderId="16" xfId="1" applyFont="1" applyFill="1" applyBorder="1" applyAlignment="1" applyProtection="1">
      <alignment horizontal="left" indent="2"/>
      <protection locked="0"/>
    </xf>
    <xf numFmtId="0" fontId="6" fillId="5" borderId="16" xfId="1" applyFont="1" applyFill="1" applyBorder="1" applyAlignment="1" applyProtection="1">
      <alignment horizontal="right" indent="1"/>
      <protection locked="0"/>
    </xf>
    <xf numFmtId="0" fontId="5" fillId="5" borderId="10" xfId="1" applyFont="1" applyFill="1" applyBorder="1" applyAlignment="1" applyProtection="1">
      <alignment horizontal="left" indent="1"/>
      <protection locked="0"/>
    </xf>
    <xf numFmtId="0" fontId="4" fillId="4" borderId="6" xfId="2" applyFont="1" applyFill="1" applyBorder="1" applyAlignment="1" applyProtection="1">
      <alignment horizontal="left" wrapText="1" indent="1" shrinkToFit="1"/>
      <protection locked="0"/>
    </xf>
    <xf numFmtId="0" fontId="5" fillId="5" borderId="6" xfId="1" applyFont="1" applyFill="1" applyBorder="1" applyAlignment="1" applyProtection="1">
      <alignment horizontal="left" indent="1"/>
      <protection locked="0"/>
    </xf>
    <xf numFmtId="0" fontId="5" fillId="5" borderId="8" xfId="1" applyFont="1" applyFill="1" applyBorder="1" applyAlignment="1" applyProtection="1">
      <alignment horizontal="left" indent="1"/>
      <protection locked="0"/>
    </xf>
    <xf numFmtId="0" fontId="5" fillId="4" borderId="17" xfId="1" applyFont="1" applyFill="1" applyBorder="1" applyAlignment="1" applyProtection="1">
      <alignment horizontal="left" indent="1"/>
      <protection locked="0"/>
    </xf>
    <xf numFmtId="0" fontId="5" fillId="5" borderId="17" xfId="1" applyFont="1" applyFill="1" applyBorder="1" applyAlignment="1" applyProtection="1">
      <alignment horizontal="left" indent="1"/>
      <protection locked="0"/>
    </xf>
    <xf numFmtId="0" fontId="4" fillId="4" borderId="6" xfId="2" applyFont="1" applyFill="1" applyBorder="1" applyAlignment="1" applyProtection="1">
      <alignment horizontal="left" indent="1"/>
      <protection locked="0"/>
    </xf>
    <xf numFmtId="0" fontId="5" fillId="5" borderId="20" xfId="1" applyFont="1" applyFill="1" applyBorder="1" applyAlignment="1" applyProtection="1">
      <alignment horizontal="left" indent="2"/>
    </xf>
    <xf numFmtId="0" fontId="4" fillId="4" borderId="21" xfId="2" applyFont="1" applyFill="1" applyBorder="1" applyAlignment="1" applyProtection="1">
      <alignment horizontal="left" indent="1"/>
      <protection locked="0"/>
    </xf>
    <xf numFmtId="0" fontId="3" fillId="5" borderId="22" xfId="1" applyFont="1" applyFill="1" applyBorder="1" applyAlignment="1" applyProtection="1">
      <alignment horizontal="left" indent="1"/>
      <protection locked="0"/>
    </xf>
    <xf numFmtId="0" fontId="6" fillId="5" borderId="24" xfId="1" applyFont="1" applyFill="1" applyBorder="1" applyAlignment="1" applyProtection="1">
      <alignment horizontal="right" wrapText="1" indent="1"/>
      <protection locked="0"/>
    </xf>
    <xf numFmtId="0" fontId="7" fillId="4" borderId="25" xfId="2" applyFont="1" applyFill="1" applyBorder="1" applyAlignment="1" applyProtection="1">
      <alignment horizontal="left" wrapText="1" indent="1" shrinkToFit="1"/>
      <protection locked="0"/>
    </xf>
    <xf numFmtId="0" fontId="5" fillId="5" borderId="24" xfId="1" applyFont="1" applyFill="1" applyBorder="1" applyAlignment="1" applyProtection="1">
      <alignment horizontal="left" indent="2"/>
      <protection locked="0"/>
    </xf>
    <xf numFmtId="0" fontId="5" fillId="5" borderId="28" xfId="1" applyFont="1" applyFill="1" applyBorder="1" applyAlignment="1" applyProtection="1">
      <alignment horizontal="left" indent="1"/>
      <protection locked="0"/>
    </xf>
    <xf numFmtId="0" fontId="5" fillId="4" borderId="8" xfId="1" applyFont="1" applyFill="1" applyBorder="1" applyAlignment="1" applyProtection="1">
      <alignment horizontal="left" indent="1"/>
      <protection locked="0"/>
    </xf>
    <xf numFmtId="0" fontId="5" fillId="5" borderId="29" xfId="1" applyFont="1" applyFill="1" applyBorder="1" applyAlignment="1" applyProtection="1">
      <alignment horizontal="left" indent="1"/>
      <protection locked="0"/>
    </xf>
    <xf numFmtId="0" fontId="3" fillId="5" borderId="30" xfId="1" applyFont="1" applyFill="1" applyBorder="1" applyAlignment="1" applyProtection="1">
      <alignment horizontal="left" indent="1"/>
      <protection locked="0"/>
    </xf>
    <xf numFmtId="0" fontId="5" fillId="4" borderId="23" xfId="1" applyFont="1" applyFill="1" applyBorder="1" applyAlignment="1" applyProtection="1">
      <alignment horizontal="left" wrapText="1" indent="1"/>
      <protection locked="0"/>
    </xf>
    <xf numFmtId="0" fontId="5" fillId="4" borderId="6" xfId="1" applyFont="1" applyFill="1" applyBorder="1" applyAlignment="1" applyProtection="1">
      <alignment horizontal="left" indent="1"/>
      <protection locked="0"/>
    </xf>
    <xf numFmtId="0" fontId="5" fillId="5" borderId="35" xfId="1" applyFont="1" applyFill="1" applyBorder="1" applyAlignment="1" applyProtection="1">
      <alignment horizontal="left" indent="2"/>
      <protection locked="0"/>
    </xf>
    <xf numFmtId="0" fontId="5" fillId="4" borderId="36" xfId="1" applyFont="1" applyFill="1" applyBorder="1" applyAlignment="1" applyProtection="1">
      <alignment horizontal="left" indent="1"/>
      <protection locked="0"/>
    </xf>
    <xf numFmtId="0" fontId="3" fillId="5" borderId="37" xfId="1" applyFont="1" applyFill="1" applyBorder="1" applyAlignment="1" applyProtection="1">
      <alignment horizontal="left" indent="1"/>
      <protection locked="0"/>
    </xf>
    <xf numFmtId="0" fontId="5" fillId="5" borderId="38" xfId="1" applyFont="1" applyFill="1" applyBorder="1" applyAlignment="1" applyProtection="1">
      <alignment horizontal="left" indent="1"/>
      <protection locked="0"/>
    </xf>
    <xf numFmtId="0" fontId="5" fillId="5" borderId="8" xfId="1" applyFont="1" applyFill="1" applyBorder="1" applyAlignment="1" applyProtection="1">
      <alignment horizontal="left" wrapText="1" indent="1"/>
      <protection locked="0"/>
    </xf>
    <xf numFmtId="0" fontId="5" fillId="5" borderId="6" xfId="1" applyFont="1" applyFill="1" applyBorder="1" applyAlignment="1" applyProtection="1">
      <alignment horizontal="left" wrapText="1" indent="1"/>
      <protection locked="0"/>
    </xf>
    <xf numFmtId="0" fontId="9" fillId="5" borderId="5" xfId="3" applyFont="1" applyFill="1" applyBorder="1" applyAlignment="1" applyProtection="1">
      <alignment horizontal="left" indent="2"/>
      <protection locked="0"/>
    </xf>
    <xf numFmtId="0" fontId="5" fillId="5" borderId="16" xfId="1" applyFont="1" applyFill="1" applyBorder="1" applyAlignment="1" applyProtection="1">
      <alignment horizontal="left" wrapText="1" indent="2"/>
      <protection locked="0"/>
    </xf>
    <xf numFmtId="0" fontId="5" fillId="5" borderId="41" xfId="1" applyFont="1" applyFill="1" applyBorder="1" applyAlignment="1" applyProtection="1">
      <alignment horizontal="left" indent="2"/>
      <protection locked="0"/>
    </xf>
    <xf numFmtId="0" fontId="5" fillId="5" borderId="42" xfId="1" applyFont="1" applyFill="1" applyBorder="1" applyAlignment="1" applyProtection="1">
      <alignment horizontal="left" wrapText="1" indent="1"/>
      <protection locked="0"/>
    </xf>
    <xf numFmtId="0" fontId="5" fillId="5" borderId="43" xfId="1" applyFont="1" applyFill="1" applyBorder="1" applyAlignment="1" applyProtection="1">
      <alignment horizontal="left" indent="2"/>
      <protection locked="0"/>
    </xf>
    <xf numFmtId="0" fontId="5" fillId="5" borderId="46" xfId="1" applyFont="1" applyFill="1" applyBorder="1" applyAlignment="1" applyProtection="1">
      <alignment horizontal="left" indent="2"/>
      <protection locked="0"/>
    </xf>
    <xf numFmtId="0" fontId="5" fillId="4" borderId="25" xfId="1" applyFont="1" applyFill="1" applyBorder="1" applyAlignment="1" applyProtection="1">
      <alignment horizontal="left" indent="1"/>
      <protection locked="0"/>
    </xf>
    <xf numFmtId="0" fontId="10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wrapText="1"/>
      <protection locked="0"/>
    </xf>
    <xf numFmtId="0" fontId="11" fillId="7" borderId="47" xfId="0" applyFont="1" applyFill="1" applyBorder="1" applyAlignment="1" applyProtection="1">
      <alignment horizontal="center" vertical="center" wrapText="1"/>
      <protection locked="0"/>
    </xf>
    <xf numFmtId="0" fontId="11" fillId="7" borderId="48" xfId="0" applyFont="1" applyFill="1" applyBorder="1" applyAlignment="1" applyProtection="1">
      <alignment horizontal="center" vertical="center" wrapText="1"/>
      <protection locked="0"/>
    </xf>
    <xf numFmtId="0" fontId="11" fillId="7" borderId="49" xfId="0" applyFont="1" applyFill="1" applyBorder="1" applyAlignment="1" applyProtection="1">
      <alignment horizontal="center" vertical="center" wrapText="1"/>
      <protection locked="0"/>
    </xf>
    <xf numFmtId="0" fontId="11" fillId="7" borderId="50" xfId="0" applyFont="1" applyFill="1" applyBorder="1" applyAlignment="1" applyProtection="1">
      <alignment horizontal="center" vertical="center" wrapText="1"/>
      <protection locked="0"/>
    </xf>
    <xf numFmtId="0" fontId="11" fillId="7" borderId="0" xfId="0" applyFont="1" applyFill="1" applyAlignment="1" applyProtection="1">
      <alignment horizontal="center" vertical="center" wrapText="1"/>
      <protection locked="0"/>
    </xf>
    <xf numFmtId="0" fontId="11" fillId="7" borderId="51" xfId="0" applyFont="1" applyFill="1" applyBorder="1" applyAlignment="1" applyProtection="1">
      <alignment horizontal="center" vertical="center" wrapText="1"/>
      <protection locked="0"/>
    </xf>
    <xf numFmtId="0" fontId="11" fillId="7" borderId="52" xfId="0" applyFont="1" applyFill="1" applyBorder="1" applyAlignment="1" applyProtection="1">
      <alignment horizontal="center" vertical="center" wrapText="1"/>
      <protection locked="0"/>
    </xf>
    <xf numFmtId="0" fontId="11" fillId="7" borderId="53" xfId="0" applyFont="1" applyFill="1" applyBorder="1" applyAlignment="1" applyProtection="1">
      <alignment horizontal="center" vertical="center" wrapText="1"/>
      <protection locked="0"/>
    </xf>
    <xf numFmtId="0" fontId="11" fillId="7" borderId="54" xfId="0" applyFont="1" applyFill="1" applyBorder="1" applyAlignment="1" applyProtection="1">
      <alignment horizontal="center" vertical="center" wrapText="1"/>
      <protection locked="0"/>
    </xf>
    <xf numFmtId="0" fontId="3" fillId="5" borderId="22" xfId="1" applyFont="1" applyFill="1" applyBorder="1" applyAlignment="1" applyProtection="1">
      <alignment horizontal="left" indent="1"/>
      <protection locked="0"/>
    </xf>
    <xf numFmtId="0" fontId="3" fillId="5" borderId="27" xfId="1" applyFont="1" applyFill="1" applyBorder="1" applyAlignment="1" applyProtection="1">
      <alignment horizontal="left" indent="1"/>
      <protection locked="0"/>
    </xf>
    <xf numFmtId="0" fontId="3" fillId="5" borderId="3" xfId="1" applyFont="1" applyFill="1" applyBorder="1" applyAlignment="1" applyProtection="1">
      <alignment horizontal="left" indent="2"/>
      <protection locked="0"/>
    </xf>
    <xf numFmtId="0" fontId="3" fillId="5" borderId="4" xfId="1" applyFont="1" applyFill="1" applyBorder="1" applyAlignment="1" applyProtection="1">
      <alignment horizontal="left" indent="2"/>
      <protection locked="0"/>
    </xf>
    <xf numFmtId="0" fontId="3" fillId="5" borderId="3" xfId="1" applyFont="1" applyFill="1" applyBorder="1" applyAlignment="1" applyProtection="1">
      <alignment horizontal="left" indent="1"/>
      <protection locked="0"/>
    </xf>
    <xf numFmtId="0" fontId="3" fillId="5" borderId="4" xfId="1" applyFont="1" applyFill="1" applyBorder="1" applyAlignment="1" applyProtection="1">
      <alignment horizontal="left" indent="1"/>
      <protection locked="0"/>
    </xf>
    <xf numFmtId="0" fontId="3" fillId="5" borderId="39" xfId="1" applyFont="1" applyFill="1" applyBorder="1" applyAlignment="1" applyProtection="1">
      <alignment horizontal="left" indent="2"/>
      <protection locked="0"/>
    </xf>
    <xf numFmtId="0" fontId="3" fillId="5" borderId="40" xfId="1" applyFont="1" applyFill="1" applyBorder="1" applyAlignment="1" applyProtection="1">
      <alignment horizontal="left" indent="2"/>
      <protection locked="0"/>
    </xf>
    <xf numFmtId="0" fontId="3" fillId="6" borderId="44" xfId="1" applyFont="1" applyFill="1" applyBorder="1" applyAlignment="1" applyProtection="1">
      <alignment horizontal="right"/>
    </xf>
    <xf numFmtId="0" fontId="3" fillId="6" borderId="45" xfId="1" applyFont="1" applyFill="1" applyBorder="1" applyAlignment="1" applyProtection="1">
      <alignment horizontal="right"/>
    </xf>
    <xf numFmtId="0" fontId="3" fillId="5" borderId="18" xfId="1" applyFont="1" applyFill="1" applyBorder="1" applyAlignment="1" applyProtection="1">
      <alignment horizontal="left" indent="1"/>
      <protection locked="0"/>
    </xf>
    <xf numFmtId="0" fontId="3" fillId="5" borderId="26" xfId="1" applyFont="1" applyFill="1" applyBorder="1" applyAlignment="1" applyProtection="1">
      <alignment horizontal="left" indent="1"/>
      <protection locked="0"/>
    </xf>
    <xf numFmtId="0" fontId="7" fillId="0" borderId="12" xfId="0" applyFont="1" applyBorder="1" applyAlignment="1" applyProtection="1">
      <alignment horizontal="left" vertical="top" wrapText="1"/>
      <protection locked="0"/>
    </xf>
    <xf numFmtId="0" fontId="7" fillId="0" borderId="13" xfId="0" applyFont="1" applyBorder="1" applyAlignment="1" applyProtection="1">
      <alignment horizontal="left" vertical="top"/>
      <protection locked="0"/>
    </xf>
    <xf numFmtId="0" fontId="3" fillId="5" borderId="33" xfId="1" applyFont="1" applyFill="1" applyBorder="1" applyAlignment="1" applyProtection="1">
      <alignment horizontal="left" indent="1"/>
      <protection locked="0"/>
    </xf>
    <xf numFmtId="0" fontId="3" fillId="5" borderId="34" xfId="1" applyFont="1" applyFill="1" applyBorder="1" applyAlignment="1" applyProtection="1">
      <alignment horizontal="left" indent="1"/>
      <protection locked="0"/>
    </xf>
    <xf numFmtId="0" fontId="3" fillId="5" borderId="14" xfId="1" applyFont="1" applyFill="1" applyBorder="1" applyAlignment="1" applyProtection="1">
      <alignment horizontal="center" vertical="center" wrapText="1"/>
      <protection locked="0"/>
    </xf>
    <xf numFmtId="0" fontId="3" fillId="5" borderId="15" xfId="1" applyFont="1" applyFill="1" applyBorder="1" applyAlignment="1" applyProtection="1">
      <alignment horizontal="center" vertical="center" wrapText="1"/>
      <protection locked="0"/>
    </xf>
    <xf numFmtId="0" fontId="6" fillId="5" borderId="31" xfId="1" applyFont="1" applyFill="1" applyBorder="1" applyAlignment="1" applyProtection="1">
      <alignment horizontal="left" wrapText="1" indent="2"/>
      <protection locked="0"/>
    </xf>
    <xf numFmtId="0" fontId="6" fillId="5" borderId="32" xfId="1" applyFont="1" applyFill="1" applyBorder="1" applyAlignment="1" applyProtection="1">
      <alignment horizontal="left" wrapText="1" indent="2"/>
      <protection locked="0"/>
    </xf>
  </cellXfs>
  <cellStyles count="4">
    <cellStyle name="20% — акцент6" xfId="2" builtinId="50"/>
    <cellStyle name="Вывод" xfId="1" builtinId="21"/>
    <cellStyle name="Гиперссылка" xfId="3" builtinId="8"/>
    <cellStyle name="Обычный" xfId="0" builtinId="0"/>
  </cellStyles>
  <dxfs count="17"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  <dxf>
      <numFmt numFmtId="164" formatCode=";;;"/>
    </dxf>
  </dxfs>
  <tableStyles count="0" defaultTableStyle="TableStyleMedium2" defaultPivotStyle="PivotStyleLight16"/>
  <colors>
    <mruColors>
      <color rgb="FFFFFFD9"/>
      <color rgb="FFFFFF99"/>
      <color rgb="FF0563C1"/>
      <color rgb="FF3F3F3F"/>
      <color rgb="FFD9D9D9"/>
      <color rgb="FFC6EFCE"/>
      <color rgb="FF005B00"/>
      <color rgb="FF006100"/>
      <color rgb="FFE0E0E0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81962</xdr:colOff>
      <xdr:row>0</xdr:row>
      <xdr:rowOff>46134</xdr:rowOff>
    </xdr:from>
    <xdr:to>
      <xdr:col>1</xdr:col>
      <xdr:colOff>1750742</xdr:colOff>
      <xdr:row>0</xdr:row>
      <xdr:rowOff>296324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6F5168A-3144-D58F-0474-293834596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8" t="1546" r="1"/>
        <a:stretch/>
      </xdr:blipFill>
      <xdr:spPr bwMode="auto">
        <a:xfrm>
          <a:off x="160790" y="46134"/>
          <a:ext cx="1664970" cy="2520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utomiq.ru/service-contra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43B7-639B-4B12-8E24-45C954FD2472}">
  <sheetPr codeName="Лист1">
    <pageSetUpPr fitToPage="1"/>
  </sheetPr>
  <dimension ref="B1:H56"/>
  <sheetViews>
    <sheetView tabSelected="1" zoomScaleNormal="100" workbookViewId="0">
      <selection activeCell="C14" sqref="C14"/>
    </sheetView>
  </sheetViews>
  <sheetFormatPr defaultColWidth="8.85546875" defaultRowHeight="15" x14ac:dyDescent="0.25"/>
  <cols>
    <col min="1" max="1" width="0.28515625" style="1" customWidth="1"/>
    <col min="2" max="2" width="52.85546875" style="1" customWidth="1"/>
    <col min="3" max="3" width="55.85546875" style="1" customWidth="1"/>
    <col min="4" max="4" width="0.7109375" style="1" hidden="1" customWidth="1"/>
    <col min="5" max="5" width="8.5703125" style="1" customWidth="1"/>
    <col min="6" max="6" width="8.42578125" style="1" customWidth="1"/>
    <col min="7" max="16384" width="8.85546875" style="1"/>
  </cols>
  <sheetData>
    <row r="1" spans="2:8" ht="25.9" customHeight="1" x14ac:dyDescent="0.3">
      <c r="B1" s="67" t="s">
        <v>33</v>
      </c>
      <c r="C1" s="68"/>
      <c r="F1" s="50" t="s">
        <v>106</v>
      </c>
      <c r="G1" s="51"/>
      <c r="H1" s="52"/>
    </row>
    <row r="2" spans="2:8" ht="18.75" x14ac:dyDescent="0.3">
      <c r="B2" s="63" t="s">
        <v>32</v>
      </c>
      <c r="C2" s="64"/>
      <c r="F2" s="53"/>
      <c r="G2" s="54"/>
      <c r="H2" s="55"/>
    </row>
    <row r="3" spans="2:8" ht="18.75" x14ac:dyDescent="0.3">
      <c r="B3" s="8" t="s">
        <v>0</v>
      </c>
      <c r="C3" s="22" t="s">
        <v>31</v>
      </c>
      <c r="F3" s="53"/>
      <c r="G3" s="54"/>
      <c r="H3" s="55"/>
    </row>
    <row r="4" spans="2:8" ht="19.5" thickBot="1" x14ac:dyDescent="0.35">
      <c r="B4" s="9" t="s">
        <v>1</v>
      </c>
      <c r="C4" s="22" t="s">
        <v>31</v>
      </c>
      <c r="F4" s="56"/>
      <c r="G4" s="57"/>
      <c r="H4" s="58"/>
    </row>
    <row r="5" spans="2:8" ht="18.75" x14ac:dyDescent="0.3">
      <c r="B5" s="9" t="s">
        <v>2</v>
      </c>
      <c r="C5" s="22" t="s">
        <v>31</v>
      </c>
    </row>
    <row r="6" spans="2:8" ht="19.5" thickBot="1" x14ac:dyDescent="0.35">
      <c r="B6" s="23" t="s">
        <v>3</v>
      </c>
      <c r="C6" s="24" t="s">
        <v>31</v>
      </c>
    </row>
    <row r="7" spans="2:8" ht="37.5" x14ac:dyDescent="0.3">
      <c r="B7" s="25" t="s">
        <v>16</v>
      </c>
      <c r="C7" s="33" t="s">
        <v>44</v>
      </c>
      <c r="D7" s="1">
        <f t="shared" ref="D7:D13" si="0">$D$14</f>
        <v>2</v>
      </c>
      <c r="F7" s="49"/>
    </row>
    <row r="8" spans="2:8" ht="18.75" collapsed="1" x14ac:dyDescent="0.3">
      <c r="B8" s="15" t="s">
        <v>27</v>
      </c>
      <c r="C8" s="16"/>
      <c r="D8" s="1">
        <f t="shared" si="0"/>
        <v>2</v>
      </c>
    </row>
    <row r="9" spans="2:8" ht="18.75" x14ac:dyDescent="0.3">
      <c r="B9" s="15" t="s">
        <v>4</v>
      </c>
      <c r="C9" s="17" t="s">
        <v>31</v>
      </c>
      <c r="D9" s="1">
        <f t="shared" si="0"/>
        <v>2</v>
      </c>
    </row>
    <row r="10" spans="2:8" ht="18.75" x14ac:dyDescent="0.3">
      <c r="B10" s="15" t="s">
        <v>5</v>
      </c>
      <c r="C10" s="17" t="s">
        <v>31</v>
      </c>
      <c r="D10" s="1">
        <f t="shared" si="0"/>
        <v>2</v>
      </c>
    </row>
    <row r="11" spans="2:8" ht="18.75" x14ac:dyDescent="0.3">
      <c r="B11" s="15" t="s">
        <v>6</v>
      </c>
      <c r="C11" s="17" t="s">
        <v>31</v>
      </c>
      <c r="D11" s="1">
        <f t="shared" si="0"/>
        <v>2</v>
      </c>
    </row>
    <row r="12" spans="2:8" ht="18.75" x14ac:dyDescent="0.3">
      <c r="B12" s="15" t="s">
        <v>7</v>
      </c>
      <c r="C12" s="17" t="s">
        <v>31</v>
      </c>
      <c r="D12" s="1">
        <f t="shared" si="0"/>
        <v>2</v>
      </c>
    </row>
    <row r="13" spans="2:8" ht="19.5" thickBot="1" x14ac:dyDescent="0.35">
      <c r="B13" s="26" t="s">
        <v>34</v>
      </c>
      <c r="C13" s="27" t="s">
        <v>43</v>
      </c>
      <c r="D13" s="1">
        <f t="shared" si="0"/>
        <v>2</v>
      </c>
    </row>
    <row r="14" spans="2:8" ht="37.5" customHeight="1" x14ac:dyDescent="0.3">
      <c r="B14" s="32" t="s">
        <v>94</v>
      </c>
      <c r="C14" s="33" t="s">
        <v>96</v>
      </c>
      <c r="D14" s="1">
        <f>VLOOKUP(C14,Диапазоны!A2:B5,2,0)</f>
        <v>2</v>
      </c>
      <c r="E14" s="48" t="s">
        <v>102</v>
      </c>
    </row>
    <row r="15" spans="2:8" ht="18.75" x14ac:dyDescent="0.3">
      <c r="B15" s="65" t="s">
        <v>95</v>
      </c>
      <c r="C15" s="66"/>
    </row>
    <row r="16" spans="2:8" ht="18.75" x14ac:dyDescent="0.3">
      <c r="B16" s="10" t="s">
        <v>97</v>
      </c>
      <c r="C16" s="40" t="s">
        <v>31</v>
      </c>
      <c r="D16" s="1">
        <f>$D$14</f>
        <v>2</v>
      </c>
    </row>
    <row r="17" spans="2:4" ht="18.75" x14ac:dyDescent="0.3">
      <c r="B17" s="10" t="s">
        <v>98</v>
      </c>
      <c r="C17" s="39" t="s">
        <v>31</v>
      </c>
    </row>
    <row r="18" spans="2:4" ht="18.75" x14ac:dyDescent="0.3">
      <c r="B18" s="45" t="s">
        <v>18</v>
      </c>
      <c r="C18" s="39" t="s">
        <v>9</v>
      </c>
      <c r="D18" s="1">
        <f>$D$14</f>
        <v>2</v>
      </c>
    </row>
    <row r="19" spans="2:4" ht="18.75" x14ac:dyDescent="0.3">
      <c r="B19" s="43" t="s">
        <v>45</v>
      </c>
      <c r="C19" s="44" t="s">
        <v>9</v>
      </c>
    </row>
    <row r="20" spans="2:4" ht="18.75" x14ac:dyDescent="0.3">
      <c r="B20" s="61" t="s">
        <v>20</v>
      </c>
      <c r="C20" s="62"/>
      <c r="D20" s="1">
        <f t="shared" ref="D20:D24" si="1">$D$14</f>
        <v>2</v>
      </c>
    </row>
    <row r="21" spans="2:4" ht="18.75" x14ac:dyDescent="0.3">
      <c r="B21" s="10" t="s">
        <v>66</v>
      </c>
      <c r="C21" s="18" t="s">
        <v>31</v>
      </c>
      <c r="D21" s="1">
        <f t="shared" si="1"/>
        <v>2</v>
      </c>
    </row>
    <row r="22" spans="2:4" ht="18.75" x14ac:dyDescent="0.3">
      <c r="B22" s="12" t="s">
        <v>50</v>
      </c>
      <c r="C22" s="31" t="s">
        <v>31</v>
      </c>
      <c r="D22" s="1">
        <f t="shared" si="1"/>
        <v>2</v>
      </c>
    </row>
    <row r="23" spans="2:4" ht="18.75" x14ac:dyDescent="0.3">
      <c r="B23" s="10" t="s">
        <v>65</v>
      </c>
      <c r="C23" s="18" t="s">
        <v>44</v>
      </c>
      <c r="D23" s="1">
        <f t="shared" si="1"/>
        <v>2</v>
      </c>
    </row>
    <row r="24" spans="2:4" ht="19.5" thickBot="1" x14ac:dyDescent="0.35">
      <c r="B24" s="10" t="s">
        <v>51</v>
      </c>
      <c r="C24" s="18" t="s">
        <v>9</v>
      </c>
      <c r="D24" s="1">
        <f t="shared" si="1"/>
        <v>2</v>
      </c>
    </row>
    <row r="25" spans="2:4" ht="18.75" x14ac:dyDescent="0.3">
      <c r="B25" s="59" t="s">
        <v>21</v>
      </c>
      <c r="C25" s="60"/>
    </row>
    <row r="26" spans="2:4" ht="18.75" x14ac:dyDescent="0.3">
      <c r="B26" s="14" t="s">
        <v>52</v>
      </c>
      <c r="C26" s="20" t="s">
        <v>9</v>
      </c>
    </row>
    <row r="27" spans="2:4" ht="18.75" x14ac:dyDescent="0.3">
      <c r="B27" s="14" t="s">
        <v>53</v>
      </c>
      <c r="C27" s="21" t="s">
        <v>44</v>
      </c>
    </row>
    <row r="28" spans="2:4" ht="18.75" x14ac:dyDescent="0.3">
      <c r="B28" s="14" t="s">
        <v>92</v>
      </c>
      <c r="C28" s="19" t="s">
        <v>9</v>
      </c>
    </row>
    <row r="29" spans="2:4" ht="18.75" x14ac:dyDescent="0.3">
      <c r="B29" s="13" t="s">
        <v>103</v>
      </c>
      <c r="C29" s="19" t="s">
        <v>9</v>
      </c>
    </row>
    <row r="30" spans="2:4" ht="19.5" thickBot="1" x14ac:dyDescent="0.35">
      <c r="B30" s="28" t="s">
        <v>68</v>
      </c>
      <c r="C30" s="29" t="s">
        <v>31</v>
      </c>
    </row>
    <row r="31" spans="2:4" ht="18.75" x14ac:dyDescent="0.3">
      <c r="B31" s="69" t="s">
        <v>10</v>
      </c>
      <c r="C31" s="70"/>
    </row>
    <row r="32" spans="2:4" ht="18.75" x14ac:dyDescent="0.3">
      <c r="B32" s="14" t="s">
        <v>54</v>
      </c>
      <c r="C32" s="21" t="s">
        <v>42</v>
      </c>
    </row>
    <row r="33" spans="2:5" ht="37.5" customHeight="1" x14ac:dyDescent="0.3">
      <c r="B33" s="42" t="s">
        <v>90</v>
      </c>
      <c r="C33" s="20" t="s">
        <v>9</v>
      </c>
    </row>
    <row r="34" spans="2:5" ht="37.5" x14ac:dyDescent="0.3">
      <c r="B34" s="42" t="s">
        <v>91</v>
      </c>
      <c r="C34" s="20" t="s">
        <v>9</v>
      </c>
    </row>
    <row r="35" spans="2:5" ht="19.5" thickBot="1" x14ac:dyDescent="0.35">
      <c r="B35" s="13" t="s">
        <v>55</v>
      </c>
      <c r="C35" s="30" t="s">
        <v>31</v>
      </c>
    </row>
    <row r="36" spans="2:5" ht="18.75" x14ac:dyDescent="0.3">
      <c r="B36" s="59" t="s">
        <v>26</v>
      </c>
      <c r="C36" s="60"/>
    </row>
    <row r="37" spans="2:5" ht="18.75" x14ac:dyDescent="0.3">
      <c r="B37" s="14" t="s">
        <v>56</v>
      </c>
      <c r="C37" s="20" t="s">
        <v>9</v>
      </c>
      <c r="E37" s="48" t="s">
        <v>102</v>
      </c>
    </row>
    <row r="38" spans="2:5" ht="18.75" x14ac:dyDescent="0.3">
      <c r="B38" s="13" t="s">
        <v>57</v>
      </c>
      <c r="C38" s="19" t="s">
        <v>44</v>
      </c>
    </row>
    <row r="39" spans="2:5" ht="18.75" x14ac:dyDescent="0.3">
      <c r="B39" s="10" t="s">
        <v>58</v>
      </c>
      <c r="C39" s="18" t="s">
        <v>44</v>
      </c>
    </row>
    <row r="40" spans="2:5" ht="18.75" x14ac:dyDescent="0.3">
      <c r="B40" s="10" t="s">
        <v>59</v>
      </c>
      <c r="C40" s="18" t="s">
        <v>9</v>
      </c>
    </row>
    <row r="41" spans="2:5" ht="19.5" thickBot="1" x14ac:dyDescent="0.35">
      <c r="B41" s="10" t="s">
        <v>104</v>
      </c>
      <c r="C41" s="18" t="s">
        <v>9</v>
      </c>
    </row>
    <row r="42" spans="2:5" ht="18.75" x14ac:dyDescent="0.3">
      <c r="B42" s="37" t="s">
        <v>86</v>
      </c>
      <c r="C42" s="38"/>
    </row>
    <row r="43" spans="2:5" ht="18.75" x14ac:dyDescent="0.3">
      <c r="B43" s="10" t="s">
        <v>67</v>
      </c>
      <c r="C43" s="34" t="s">
        <v>9</v>
      </c>
    </row>
    <row r="44" spans="2:5" ht="18.75" x14ac:dyDescent="0.3">
      <c r="B44" s="11" t="s">
        <v>84</v>
      </c>
      <c r="C44" s="16" t="s">
        <v>31</v>
      </c>
    </row>
    <row r="45" spans="2:5" ht="19.5" thickBot="1" x14ac:dyDescent="0.35">
      <c r="B45" s="11" t="s">
        <v>85</v>
      </c>
      <c r="C45" s="19" t="s">
        <v>31</v>
      </c>
    </row>
    <row r="46" spans="2:5" ht="18.75" x14ac:dyDescent="0.3">
      <c r="B46" s="73" t="s">
        <v>28</v>
      </c>
      <c r="C46" s="74"/>
    </row>
    <row r="47" spans="2:5" ht="18.75" x14ac:dyDescent="0.3">
      <c r="B47" s="10" t="s">
        <v>14</v>
      </c>
      <c r="C47" s="34" t="s">
        <v>15</v>
      </c>
    </row>
    <row r="48" spans="2:5" ht="19.5" thickBot="1" x14ac:dyDescent="0.35">
      <c r="B48" s="35" t="s">
        <v>60</v>
      </c>
      <c r="C48" s="36" t="s">
        <v>25</v>
      </c>
    </row>
    <row r="49" spans="2:3" ht="18.75" x14ac:dyDescent="0.3">
      <c r="B49" s="73" t="s">
        <v>87</v>
      </c>
      <c r="C49" s="74"/>
    </row>
    <row r="50" spans="2:3" ht="18.75" x14ac:dyDescent="0.3">
      <c r="B50" s="41" t="s">
        <v>87</v>
      </c>
      <c r="C50" s="34" t="s">
        <v>88</v>
      </c>
    </row>
    <row r="51" spans="2:3" ht="18.75" x14ac:dyDescent="0.3">
      <c r="B51" s="10" t="s">
        <v>89</v>
      </c>
      <c r="C51" s="34" t="s">
        <v>73</v>
      </c>
    </row>
    <row r="52" spans="2:3" ht="19.5" thickBot="1" x14ac:dyDescent="0.35">
      <c r="B52" s="46" t="s">
        <v>81</v>
      </c>
      <c r="C52" s="47" t="s">
        <v>13</v>
      </c>
    </row>
    <row r="53" spans="2:3" ht="18.75" x14ac:dyDescent="0.25">
      <c r="B53" s="75" t="s">
        <v>100</v>
      </c>
      <c r="C53" s="76"/>
    </row>
    <row r="54" spans="2:3" ht="16.5" thickBot="1" x14ac:dyDescent="0.3">
      <c r="B54" s="77" t="s">
        <v>101</v>
      </c>
      <c r="C54" s="78"/>
    </row>
    <row r="55" spans="2:3" ht="16.5" thickBot="1" x14ac:dyDescent="0.3">
      <c r="B55" s="71" t="s">
        <v>69</v>
      </c>
      <c r="C55" s="72"/>
    </row>
    <row r="56" spans="2:3" ht="15.75" thickTop="1" x14ac:dyDescent="0.25"/>
  </sheetData>
  <dataConsolidate/>
  <mergeCells count="13">
    <mergeCell ref="B55:C55"/>
    <mergeCell ref="B46:C46"/>
    <mergeCell ref="B53:C53"/>
    <mergeCell ref="B54:C54"/>
    <mergeCell ref="B49:C49"/>
    <mergeCell ref="F1:H4"/>
    <mergeCell ref="B36:C36"/>
    <mergeCell ref="B20:C20"/>
    <mergeCell ref="B2:C2"/>
    <mergeCell ref="B15:C15"/>
    <mergeCell ref="B1:C1"/>
    <mergeCell ref="B25:C25"/>
    <mergeCell ref="B31:C31"/>
  </mergeCells>
  <conditionalFormatting sqref="B15:C24">
    <cfRule type="expression" dxfId="16" priority="1">
      <formula>$D$14=0</formula>
    </cfRule>
  </conditionalFormatting>
  <conditionalFormatting sqref="B16:C16">
    <cfRule type="expression" dxfId="15" priority="2">
      <formula>OR($D$14=2,$D$14=3)</formula>
    </cfRule>
  </conditionalFormatting>
  <conditionalFormatting sqref="B17:C24">
    <cfRule type="expression" dxfId="14" priority="3">
      <formula>$D$14=1</formula>
    </cfRule>
  </conditionalFormatting>
  <conditionalFormatting sqref="B27:C30">
    <cfRule type="expression" dxfId="13" priority="7">
      <formula>$C$26="Нет"</formula>
    </cfRule>
  </conditionalFormatting>
  <conditionalFormatting sqref="B38:C41">
    <cfRule type="expression" dxfId="12" priority="6">
      <formula>$C$37="Нет"</formula>
    </cfRule>
  </conditionalFormatting>
  <conditionalFormatting sqref="B44:C45">
    <cfRule type="expression" dxfId="11" priority="4">
      <formula>$C$43="Нет"</formula>
    </cfRule>
  </conditionalFormatting>
  <conditionalFormatting sqref="B51:C52">
    <cfRule type="expression" dxfId="10" priority="5">
      <formula>$C$50="Нет, Базовый уровень"</formula>
    </cfRule>
  </conditionalFormatting>
  <conditionalFormatting sqref="C16">
    <cfRule type="expression" dxfId="9" priority="20" stopIfTrue="1">
      <formula>$D$16=1</formula>
    </cfRule>
  </conditionalFormatting>
  <conditionalFormatting sqref="C17:C19 C21:C24">
    <cfRule type="expression" dxfId="8" priority="27">
      <formula>$D$18&gt;=2</formula>
    </cfRule>
  </conditionalFormatting>
  <conditionalFormatting sqref="C17:C19">
    <cfRule type="expression" dxfId="7" priority="30">
      <formula>#REF!=3</formula>
    </cfRule>
  </conditionalFormatting>
  <conditionalFormatting sqref="C27:C30">
    <cfRule type="expression" dxfId="6" priority="8">
      <formula>$C$26="Да"</formula>
    </cfRule>
  </conditionalFormatting>
  <conditionalFormatting sqref="C33">
    <cfRule type="expression" dxfId="5" priority="11">
      <formula>$D$18&gt;=2</formula>
    </cfRule>
  </conditionalFormatting>
  <conditionalFormatting sqref="C34">
    <cfRule type="expression" dxfId="4" priority="10">
      <formula>$D$18&gt;2</formula>
    </cfRule>
  </conditionalFormatting>
  <conditionalFormatting sqref="C38:C41">
    <cfRule type="expression" dxfId="3" priority="25">
      <formula>$C$37="Да"</formula>
    </cfRule>
  </conditionalFormatting>
  <conditionalFormatting sqref="C43:C45">
    <cfRule type="expression" dxfId="2" priority="24">
      <formula>$C$42="Да"</formula>
    </cfRule>
  </conditionalFormatting>
  <conditionalFormatting sqref="C44:C45">
    <cfRule type="expression" dxfId="1" priority="15">
      <formula>$C$43="Да"</formula>
    </cfRule>
  </conditionalFormatting>
  <conditionalFormatting sqref="C51:C52">
    <cfRule type="expression" dxfId="0" priority="17">
      <formula>$C$50="Нет, Базовый уровень"</formula>
    </cfRule>
  </conditionalFormatting>
  <dataValidations xWindow="806" yWindow="512" count="9">
    <dataValidation allowBlank="1" showInputMessage="1" promptTitle="Количество OPC DA серверов" prompt="Можно дублировать для надёжности или собирать данные с нескольких распределённых систем._x000a_На одном физическом  сервере можно разместить как DA клиент, так и сервер._x000a__x000a_* количество OPC DA источников на клиент не ограничено." sqref="C45" xr:uid="{B4DD37DF-BFFA-4263-9EC4-6BEABAF8E743}"/>
    <dataValidation allowBlank="1" showInputMessage="1" showErrorMessage="1" promptTitle="Сигналы с разбивкой по типам" prompt="Необязательно._x000a_Если число внеш. тегов пока неизвестно, можно примерно подсчитать их кол-во по полевым сигналам._x000a_Например:_x000a_1 AI/AO ~ 15 тегов (значение, уставки, сервисная инф-ция)_x000a_1 DI/DO ~ 2 тега (значение, сервисная инф-ция)_x000a_Устр. Modbus ~ 100 тегов" sqref="B8" xr:uid="{692E98D3-5B4F-4055-9387-C8F5B9CE712C}"/>
    <dataValidation allowBlank="1" showInputMessage="1" showErrorMessage="1" prompt="Alpha.One+ - клиент и сервер на одном ПК. Резерв не предусмотрен._x000a_Alpha.SCADA - клиент-серверная структура с одиночным или резерв-ным сервером. Не более 2х серверов._x000a_Alpha.Platform - несколько экземпляров сервера в/в, свободн.обмен данными внутри системы_x000a_" sqref="E14" xr:uid="{CC2EB3F7-E1C9-4539-AD62-DDEBC61C8064}"/>
    <dataValidation allowBlank="1" showInputMessage="1" showErrorMessage="1" promptTitle="Количество АРМ/панелей оператора" prompt="Под АРМ понимается &quot;всё в одном&quot; - сервер и клиент на одном компьютере." sqref="C16" xr:uid="{B57D4CA2-B664-4CD7-9956-45667E34B7BF}"/>
    <dataValidation allowBlank="1" showInputMessage="1" showErrorMessage="1" promptTitle="Кол-во настоль.(полных) клиентов" prompt="Настольный (полный) клиент можно использовать в трёх вариантах:_x000a_ - настольный клиент (по умолчанию)_x000a_ - терминальный клиент_x000a_ - web-клиент с управлением_x000a__x000a_При проектировании системы пользователь выбирает один из типов применения." sqref="C21" xr:uid="{F9D06D89-A388-4820-93D1-B2543EB97DD3}"/>
    <dataValidation allowBlank="1" showInputMessage="1" showErrorMessage="1" promptTitle="Количество терминальных клиентов" prompt="Удалённый доступ по RDP или аналогичному по функционалу протоколу._x000a_" sqref="C22" xr:uid="{795C9B2A-4050-4A63-9682-59AF7616C180}"/>
    <dataValidation allowBlank="1" showInputMessage="1" showErrorMessage="1" promptTitle="Базовый пакет" prompt="Modbus RTU/TCP Master/Slave_x000a_IEC-101/104 Master/Slave_x000a_OPC DA/UA_x000a_Syslog, SNMP, MQTT" sqref="C32" xr:uid="{AC211CE8-1739-4A78-94EA-DA9C14DD63B3}"/>
    <dataValidation allowBlank="1" showInputMessage="1" showErrorMessage="1" prompt="Сервер лицензируется по тегам и клиентам,_x000a_например, лицензия на 250 тегов даёт создавать неограниченное_x000a_количество шаблонов (отчётов), но суммарное количество_x000a_уникальных тегов, используемых во всех шаблонах – не более 250." sqref="E37" xr:uid="{5B1CEBEA-4C14-4C4A-AB90-CC6885A00D00}"/>
    <dataValidation allowBlank="1" showInputMessage="1" promptTitle="Количество OPC DA клиентов" prompt="Можно дублировать для надёжности или собирать данные с нескольких распределённых систем._x000a_На одном физическом  сервере можно разместить как DA клиент, так и сервер._x000a__x000a_* количество OPC DA источников на клиент не ограничено." sqref="C44" xr:uid="{D173D720-99FE-4D1C-B520-D3C6920049D1}"/>
  </dataValidations>
  <hyperlinks>
    <hyperlink ref="B50" r:id="rId1" xr:uid="{6A7B4AF9-8EB4-43CB-9C57-C32CBEB5946A}"/>
  </hyperlinks>
  <pageMargins left="0.25" right="0.25" top="0.75" bottom="0.75" header="0.3" footer="0.3"/>
  <pageSetup paperSize="9" scale="63" fitToWidth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806" yWindow="512" count="23">
        <x14:dataValidation type="list" allowBlank="1" showInputMessage="1" showErrorMessage="1" xr:uid="{E37E104D-BDD3-4C84-BC9E-A9A696D09CD9}">
          <x14:formula1>
            <xm:f>Диапазоны!$E$2:$E$3</xm:f>
          </x14:formula1>
          <xm:sqref>C48:C49</xm:sqref>
        </x14:dataValidation>
        <x14:dataValidation type="list" allowBlank="1" showInputMessage="1" showErrorMessage="1" xr:uid="{730A2005-CE59-45B9-A106-D6CE2D3F4224}">
          <x14:formula1>
            <xm:f>Диапазоны!$D$2:$D$4</xm:f>
          </x14:formula1>
          <xm:sqref>C47</xm:sqref>
        </x14:dataValidation>
        <x14:dataValidation type="list" allowBlank="1" showInputMessage="1" showErrorMessage="1" xr:uid="{A50DAD8B-A1AF-4247-8165-79051340293A}">
          <x14:formula1>
            <xm:f>Диапазоны!$C$2:$C$3</xm:f>
          </x14:formula1>
          <xm:sqref>C28 C40</xm:sqref>
        </x14:dataValidation>
        <x14:dataValidation type="list" allowBlank="1" showInputMessage="1" promptTitle="Количество внешних тегов" prompt="Считаются все теги, поступившие в систему извне. Например, 1 OPC тег, 1 регистр Modbus, 1 OID SNMP. Если рег. Modbus расклад-ся внутри системы на биты, то эти биты считаются внутр. тегами и не считаются сервером лиц-ния (кол-во внутр.тегов не ограничено)_x000a_" xr:uid="{2E518B5B-56C7-4E5E-AB67-ABFD2E8C04FE}">
          <x14:formula1>
            <xm:f>Диапазоны!$G$2:$G$19</xm:f>
          </x14:formula1>
          <xm:sqref>C7</xm:sqref>
        </x14:dataValidation>
        <x14:dataValidation type="list" allowBlank="1" showInputMessage="1" promptTitle="Кол-во тегов д/записи в историю" prompt="На одну инсталляцию." xr:uid="{A8F63053-2DF9-423A-A97C-2F4EEF84D489}">
          <x14:formula1>
            <xm:f>Диапазоны!$H$2:$H$24</xm:f>
          </x14:formula1>
          <xm:sqref>C27</xm:sqref>
        </x14:dataValidation>
        <x14:dataValidation type="list" allowBlank="1" showInputMessage="1" promptTitle="Кол-во Web-кл. (только чтение)" prompt="Web-клиенты &quot;только чтение&quot; поставляются комплектами (пакетами) по 10/25/50/100/250/без ограничений, штук." xr:uid="{6AF24866-E34D-4C92-8101-998633B8A465}">
          <x14:formula1>
            <xm:f>Диапазоны!$I$2:$I$7</xm:f>
          </x14:formula1>
          <xm:sqref>C23</xm:sqref>
        </x14:dataValidation>
        <x14:dataValidation type="list" allowBlank="1" showInputMessage="1" xr:uid="{5038EF3E-87BF-4E44-961F-006C31CA1525}">
          <x14:formula1>
            <xm:f>Диапазоны!$J$2:$J$11</xm:f>
          </x14:formula1>
          <xm:sqref>C38</xm:sqref>
        </x14:dataValidation>
        <x14:dataValidation type="list" allowBlank="1" showInputMessage="1" promptTitle="Количество клиентов" prompt="Клиентские лицензии – конкурентные_x000a_(доступ через Web-браузер или встраивание Web-страницы на мнемосхему HMI),_x000a_например, можно приобрести одного клиентскую лицензию,_x000a_если в один момент с отчётами будет работать только один пользователь." xr:uid="{35FC7B2D-8FA9-4BBF-A946-0DA330FA729D}">
          <x14:formula1>
            <xm:f>Диапазоны!$K$2:$K$8</xm:f>
          </x14:formula1>
          <xm:sqref>C39</xm:sqref>
        </x14:dataValidation>
        <x14:dataValidation type="list" allowBlank="1" showInputMessage="1" showErrorMessage="1" promptTitle="Тип системы, комплект" prompt="Описаны распространённые конфигурации._x000a_Если Ваша конфигурация отличается, опишите её в конце опросного листа._x000a_Для информации по предлагаемым конфигурациям, нажмите ячейку справа._x000a_" xr:uid="{4F0E0420-112A-4F1E-9E72-5003A610B479}">
          <x14:formula1>
            <xm:f>Диапазоны!$A$2:$A$5</xm:f>
          </x14:formula1>
          <xm:sqref>C14</xm:sqref>
        </x14:dataValidation>
        <x14:dataValidation type="list" allowBlank="1" showInputMessage="1" promptTitle="Клиент/сервер OPC DA" prompt="Обычно опция используется при опросе Linux-серверами OPC DA источников,_x000a_но можно использовать как выделенный OPC DA-клиент/сервер._x000a__x000a_* С точки зрения проектирования это выглядит как выделенный физический (виртуальный) сервер, работающий на Windows." xr:uid="{4ECCBC2C-EC87-4453-9D2C-DB7CB286CDFB}">
          <x14:formula1>
            <xm:f>Диапазоны!$C$2:$C$3</xm:f>
          </x14:formula1>
          <xm:sqref>C43</xm:sqref>
        </x14:dataValidation>
        <x14:dataValidation type="list" allowBlank="1" showInputMessage="1" showErrorMessage="1" xr:uid="{D7E2B6F6-D73C-4911-9FDF-78B419E82430}">
          <x14:formula1>
            <xm:f>Диапазоны!$O$2:$O$5</xm:f>
          </x14:formula1>
          <xm:sqref>C51</xm:sqref>
        </x14:dataValidation>
        <x14:dataValidation type="list" allowBlank="1" showInputMessage="1" xr:uid="{7E145326-9898-427B-9934-0136ADD11DFF}">
          <x14:formula1>
            <xm:f>Диапазоны!$F$2:$F$5</xm:f>
          </x14:formula1>
          <xm:sqref>C52</xm:sqref>
        </x14:dataValidation>
        <x14:dataValidation type="list" allowBlank="1" showInputMessage="1" showErrorMessage="1" xr:uid="{92B9B414-D53E-4CD8-A0B0-ED336078B336}">
          <x14:formula1>
            <xm:f>Диапазоны!$H$2:$H$24</xm:f>
          </x14:formula1>
          <xm:sqref>C27</xm:sqref>
        </x14:dataValidation>
        <x14:dataValidation type="list" allowBlank="1" showInputMessage="1" showErrorMessage="1" promptTitle="Техническая поддержка" prompt="Уровень (тариф) в процентах от суммарной стоимости лицензий системы._x000a_Базовый (0%) SLA-сертификат входит в стоимость постоянных лицензий._x000a_Стандарт (10%)_x000a_Оптимальный (15%)_x000a_Премиум (25%)_x000a_Подробнее здесь: https://automiq.ru/ru/service-contracts/" xr:uid="{935AEBB7-178A-4EBE-80EF-A614DA8D9930}">
          <x14:formula1>
            <xm:f>Диапазоны!$R$2:$R$3</xm:f>
          </x14:formula1>
          <xm:sqref>C50</xm:sqref>
        </x14:dataValidation>
        <x14:dataValidation type="list" allowBlank="1" showInputMessage="1" showErrorMessage="1" promptTitle="Резервирование серверов" prompt="При резервировании между парой серверов происходит синхронизация процессных и исторических данных." xr:uid="{62BD835C-7C48-4BF4-BE41-A2D4BEF8CA07}">
          <x14:formula1>
            <xm:f>Диапазоны!$C$2:$C$3</xm:f>
          </x14:formula1>
          <xm:sqref>C18</xm:sqref>
        </x14:dataValidation>
        <x14:dataValidation type="list" allowBlank="1" showInputMessage="1" showErrorMessage="1" promptTitle="Операторский функц-л на сервере" prompt="На сервере необходима визуализация (клиентская лицензия HMI)." xr:uid="{4C67AA7F-8C6A-44C7-89CD-6B102E3F2F08}">
          <x14:formula1>
            <xm:f>Диапазоны!$C$2:$C$3</xm:f>
          </x14:formula1>
          <xm:sqref>C19</xm:sqref>
        </x14:dataValidation>
        <x14:dataValidation type="list" allowBlank="1" showInputMessage="1" showErrorMessage="1" promptTitle="Выделенный Web-сервер" prompt="Для более чем 5 одновременных WEB подключений рекомендуется выделенный компьютер для WEB-сервера и Alpha.WEBportal._x000a__x000a_Для работы Web-функционала настраивается Apache, IIS или другое аналогичное ПО." xr:uid="{89F96C3A-9BEB-4157-B704-EEB4D6DFA522}">
          <x14:formula1>
            <xm:f>Диапазоны!$C$2:$C$3</xm:f>
          </x14:formula1>
          <xm:sqref>C24</xm:sqref>
        </x14:dataValidation>
        <x14:dataValidation type="list" allowBlank="1" showInputMessage="1" showErrorMessage="1" promptTitle="Сервер истории" prompt="БДРВ Alpha.Historian Standard – специализированное решение для сохранения истории процесса и предоставления данных для анализа и отображения._x000a_Для небольших объёмов сохраняемых данных есть возможность бесплатно исп-ть сторонние БД: PostgreSQL, MS SQL." xr:uid="{9D6F2F69-5361-4EED-8119-563D3770A978}">
          <x14:formula1>
            <xm:f>Диапазоны!$C$2:$C$3</xm:f>
          </x14:formula1>
          <xm:sqref>C26</xm:sqref>
        </x14:dataValidation>
        <x14:dataValidation type="list" allowBlank="1" showInputMessage="1" showErrorMessage="1" promptTitle="Распол-ся на выделенном сервере" prompt="Сервер истории располагается не на одной машине с сервером ввода/вывода. _x000a__x000a_При специфическом размещении, пожалуйста, укажите в дополнительных требованиях или комментарии." xr:uid="{C579D3D1-C541-4018-8C6C-40E3DCA8B68A}">
          <x14:formula1>
            <xm:f>Диапазоны!$C$2:$C$3</xm:f>
          </x14:formula1>
          <xm:sqref>C29</xm:sqref>
        </x14:dataValidation>
        <x14:dataValidation type="list" allowBlank="1" showInputMessage="1" showErrorMessage="1" promptTitle="Пакет энергетический" prompt="МЭК 61850 клиент, ТЭМ-104 Master" xr:uid="{2B18C464-1365-4378-A607-67C3BA66CEDA}">
          <x14:formula1>
            <xm:f>Диапазоны!$C$2:$C$3</xm:f>
          </x14:formula1>
          <xm:sqref>C33</xm:sqref>
        </x14:dataValidation>
        <x14:dataValidation type="list" allowBlank="1" showInputMessage="1" showErrorMessage="1" promptTitle="Пакет индустриальный" prompt="BACnet, S7, Ethernet/IP, FINS, RP 570 Master" xr:uid="{31B88BDE-BE78-48A5-AD88-8A3356DFD030}">
          <x14:formula1>
            <xm:f>Диапазоны!$C$2:$C$3</xm:f>
          </x14:formula1>
          <xm:sqref>C34</xm:sqref>
        </x14:dataValidation>
        <x14:dataValidation type="list" allowBlank="1" showInputMessage="1" showErrorMessage="1" promptTitle="Сервер отчётов" prompt="Продукт Alpha.Reports Pro - сервер отчетов_x000a_Отчёты гибко конфигурируются и представляются в табличном виде через Web-браузер._x000a_Для дополнительной информации нажмите ячейку справа." xr:uid="{10517172-6EA2-40FE-A64D-049A06DC9955}">
          <x14:formula1>
            <xm:f>Диапазоны!$C$2:$C$3</xm:f>
          </x14:formula1>
          <xm:sqref>C37</xm:sqref>
        </x14:dataValidation>
        <x14:dataValidation type="list" allowBlank="1" showInputMessage="1" showErrorMessage="1" promptTitle="Распол-ся в выделенном сервере" prompt="Сервер отчетов располагается не на одной машине с сервером ввода/вывода. _x000a__x000a_При специфическом размещении, пожалуйста, укажите в дополнительных требованиях или комментарии." xr:uid="{025EC1C4-DCB7-4C5E-99DB-85FD9D80A3E3}">
          <x14:formula1>
            <xm:f>Диапазоны!$C$2:$C$3</xm:f>
          </x14:formula1>
          <xm:sqref>C41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514-0505-453E-9FA9-A2E12E438098}">
  <sheetPr codeName="Лист2"/>
  <dimension ref="A1:U24"/>
  <sheetViews>
    <sheetView workbookViewId="0">
      <selection activeCell="A2" sqref="A2"/>
    </sheetView>
  </sheetViews>
  <sheetFormatPr defaultRowHeight="15" x14ac:dyDescent="0.25"/>
  <cols>
    <col min="1" max="1" width="52.28515625" customWidth="1"/>
    <col min="2" max="2" width="2.7109375" customWidth="1"/>
    <col min="3" max="3" width="7.28515625" bestFit="1" customWidth="1"/>
    <col min="4" max="4" width="22" bestFit="1" customWidth="1"/>
    <col min="5" max="5" width="20.7109375" bestFit="1" customWidth="1"/>
    <col min="6" max="6" width="27.7109375" bestFit="1" customWidth="1"/>
    <col min="7" max="7" width="9.7109375" bestFit="1" customWidth="1"/>
    <col min="10" max="10" width="11.28515625" bestFit="1" customWidth="1"/>
    <col min="12" max="12" width="10.5703125" customWidth="1"/>
    <col min="14" max="14" width="13.28515625" bestFit="1" customWidth="1"/>
    <col min="15" max="15" width="19.28515625" bestFit="1" customWidth="1"/>
    <col min="16" max="16" width="16.7109375" bestFit="1" customWidth="1"/>
    <col min="17" max="17" width="22" bestFit="1" customWidth="1"/>
    <col min="19" max="19" width="11" customWidth="1"/>
    <col min="20" max="20" width="13.5703125" customWidth="1"/>
    <col min="21" max="21" width="20" customWidth="1"/>
  </cols>
  <sheetData>
    <row r="1" spans="1:21" x14ac:dyDescent="0.25">
      <c r="A1" s="2" t="s">
        <v>19</v>
      </c>
      <c r="C1" s="2" t="s">
        <v>22</v>
      </c>
      <c r="D1" s="2" t="s">
        <v>14</v>
      </c>
      <c r="E1" s="2" t="s">
        <v>11</v>
      </c>
      <c r="F1" s="2" t="s">
        <v>12</v>
      </c>
      <c r="G1" s="3" t="s">
        <v>35</v>
      </c>
      <c r="H1" s="3" t="s">
        <v>37</v>
      </c>
      <c r="I1" s="3" t="s">
        <v>38</v>
      </c>
      <c r="J1" s="3" t="s">
        <v>40</v>
      </c>
      <c r="K1" s="3" t="s">
        <v>41</v>
      </c>
      <c r="L1" s="3" t="s">
        <v>46</v>
      </c>
      <c r="M1" s="3" t="s">
        <v>61</v>
      </c>
      <c r="N1" s="3" t="s">
        <v>71</v>
      </c>
      <c r="O1" s="3" t="s">
        <v>70</v>
      </c>
      <c r="P1" s="3" t="s">
        <v>75</v>
      </c>
      <c r="Q1" s="3" t="s">
        <v>82</v>
      </c>
      <c r="R1" s="3" t="s">
        <v>70</v>
      </c>
      <c r="T1" s="3"/>
      <c r="U1" s="3"/>
    </row>
    <row r="2" spans="1:21" x14ac:dyDescent="0.25">
      <c r="A2" t="s">
        <v>105</v>
      </c>
      <c r="B2">
        <v>0</v>
      </c>
      <c r="C2" t="s">
        <v>8</v>
      </c>
      <c r="D2" t="s">
        <v>23</v>
      </c>
      <c r="E2" t="s">
        <v>25</v>
      </c>
      <c r="F2" t="s">
        <v>13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9</v>
      </c>
      <c r="N2" t="s">
        <v>80</v>
      </c>
      <c r="O2" t="s">
        <v>72</v>
      </c>
      <c r="P2" t="s">
        <v>9</v>
      </c>
      <c r="Q2" t="s">
        <v>9</v>
      </c>
      <c r="R2" t="s">
        <v>8</v>
      </c>
    </row>
    <row r="3" spans="1:21" ht="30" x14ac:dyDescent="0.25">
      <c r="A3" s="7" t="s">
        <v>93</v>
      </c>
      <c r="B3">
        <v>1</v>
      </c>
      <c r="C3" t="s">
        <v>9</v>
      </c>
      <c r="D3" t="s">
        <v>24</v>
      </c>
      <c r="E3" t="s">
        <v>17</v>
      </c>
      <c r="F3" t="s">
        <v>29</v>
      </c>
      <c r="G3" s="4">
        <v>150</v>
      </c>
      <c r="H3" s="4">
        <v>100</v>
      </c>
      <c r="I3">
        <v>10</v>
      </c>
      <c r="J3">
        <v>50</v>
      </c>
      <c r="K3">
        <v>1</v>
      </c>
      <c r="L3" t="s">
        <v>48</v>
      </c>
      <c r="M3" t="s">
        <v>62</v>
      </c>
      <c r="N3" t="s">
        <v>8</v>
      </c>
      <c r="O3" t="s">
        <v>73</v>
      </c>
      <c r="P3" t="s">
        <v>76</v>
      </c>
      <c r="Q3" t="s">
        <v>8</v>
      </c>
      <c r="R3" t="s">
        <v>88</v>
      </c>
    </row>
    <row r="4" spans="1:21" ht="30" x14ac:dyDescent="0.25">
      <c r="A4" s="7" t="s">
        <v>96</v>
      </c>
      <c r="B4">
        <v>2</v>
      </c>
      <c r="D4" t="s">
        <v>15</v>
      </c>
      <c r="F4" t="s">
        <v>30</v>
      </c>
      <c r="G4" s="4">
        <v>300</v>
      </c>
      <c r="H4" s="4">
        <v>200</v>
      </c>
      <c r="I4">
        <v>25</v>
      </c>
      <c r="J4">
        <v>100</v>
      </c>
      <c r="K4">
        <v>5</v>
      </c>
      <c r="L4" t="s">
        <v>49</v>
      </c>
      <c r="M4" t="s">
        <v>63</v>
      </c>
      <c r="O4" t="s">
        <v>74</v>
      </c>
      <c r="P4" t="s">
        <v>77</v>
      </c>
      <c r="Q4" t="s">
        <v>83</v>
      </c>
    </row>
    <row r="5" spans="1:21" ht="30" x14ac:dyDescent="0.25">
      <c r="A5" s="7" t="s">
        <v>99</v>
      </c>
      <c r="B5">
        <v>3</v>
      </c>
      <c r="F5" t="s">
        <v>79</v>
      </c>
      <c r="G5" s="4">
        <v>500</v>
      </c>
      <c r="H5" s="4">
        <v>300</v>
      </c>
      <c r="I5">
        <v>50</v>
      </c>
      <c r="J5">
        <v>250</v>
      </c>
      <c r="K5">
        <v>10</v>
      </c>
      <c r="L5" t="s">
        <v>47</v>
      </c>
      <c r="M5" t="s">
        <v>64</v>
      </c>
      <c r="P5" t="s">
        <v>78</v>
      </c>
    </row>
    <row r="6" spans="1:21" x14ac:dyDescent="0.25">
      <c r="G6" s="5">
        <v>1000</v>
      </c>
      <c r="H6" s="4">
        <v>500</v>
      </c>
      <c r="I6">
        <v>100</v>
      </c>
      <c r="J6">
        <v>500</v>
      </c>
      <c r="K6">
        <v>25</v>
      </c>
    </row>
    <row r="7" spans="1:21" x14ac:dyDescent="0.25">
      <c r="G7" s="5">
        <v>1500</v>
      </c>
      <c r="H7" s="4">
        <v>700</v>
      </c>
      <c r="I7">
        <v>250</v>
      </c>
      <c r="J7" s="6">
        <v>1000</v>
      </c>
      <c r="K7">
        <v>50</v>
      </c>
    </row>
    <row r="8" spans="1:21" x14ac:dyDescent="0.25">
      <c r="G8" s="5">
        <v>3000</v>
      </c>
      <c r="H8" s="5">
        <v>1000</v>
      </c>
      <c r="I8" t="s">
        <v>39</v>
      </c>
      <c r="J8" s="6">
        <v>2000</v>
      </c>
      <c r="K8">
        <v>100</v>
      </c>
    </row>
    <row r="9" spans="1:21" x14ac:dyDescent="0.25">
      <c r="G9" s="5">
        <v>5000</v>
      </c>
      <c r="H9" s="5">
        <v>2000</v>
      </c>
      <c r="J9" s="6">
        <v>5000</v>
      </c>
    </row>
    <row r="10" spans="1:21" x14ac:dyDescent="0.25">
      <c r="G10" s="5">
        <v>15000</v>
      </c>
      <c r="H10" s="5">
        <v>3000</v>
      </c>
      <c r="J10" s="6">
        <v>10000</v>
      </c>
    </row>
    <row r="11" spans="1:21" x14ac:dyDescent="0.25">
      <c r="G11" s="5">
        <v>50000</v>
      </c>
      <c r="H11" s="5">
        <v>5000</v>
      </c>
      <c r="J11" t="s">
        <v>39</v>
      </c>
    </row>
    <row r="12" spans="1:21" x14ac:dyDescent="0.25">
      <c r="G12" s="5">
        <v>100000</v>
      </c>
      <c r="H12" s="5">
        <v>7000</v>
      </c>
    </row>
    <row r="13" spans="1:21" x14ac:dyDescent="0.25">
      <c r="G13" s="5">
        <v>150000</v>
      </c>
      <c r="H13" s="5">
        <v>10000</v>
      </c>
    </row>
    <row r="14" spans="1:21" x14ac:dyDescent="0.25">
      <c r="G14" s="5">
        <v>200000</v>
      </c>
      <c r="H14" s="5">
        <v>15000</v>
      </c>
    </row>
    <row r="15" spans="1:21" x14ac:dyDescent="0.25">
      <c r="G15" s="5">
        <v>300000</v>
      </c>
      <c r="H15" s="5">
        <v>20000</v>
      </c>
    </row>
    <row r="16" spans="1:21" x14ac:dyDescent="0.25">
      <c r="G16" s="5">
        <v>500000</v>
      </c>
      <c r="H16" s="5">
        <v>30000</v>
      </c>
    </row>
    <row r="17" spans="7:8" x14ac:dyDescent="0.25">
      <c r="G17" s="5">
        <v>1000000</v>
      </c>
      <c r="H17" s="5">
        <v>50000</v>
      </c>
    </row>
    <row r="18" spans="7:8" x14ac:dyDescent="0.25">
      <c r="G18" s="5">
        <v>2000000</v>
      </c>
      <c r="H18" s="5">
        <v>100000</v>
      </c>
    </row>
    <row r="19" spans="7:8" x14ac:dyDescent="0.25">
      <c r="G19" s="4" t="s">
        <v>36</v>
      </c>
      <c r="H19" s="5">
        <v>200000</v>
      </c>
    </row>
    <row r="20" spans="7:8" x14ac:dyDescent="0.25">
      <c r="H20" s="5">
        <v>300000</v>
      </c>
    </row>
    <row r="21" spans="7:8" x14ac:dyDescent="0.25">
      <c r="H21" s="5">
        <v>500000</v>
      </c>
    </row>
    <row r="22" spans="7:8" x14ac:dyDescent="0.25">
      <c r="H22" s="5">
        <v>1000000</v>
      </c>
    </row>
    <row r="23" spans="7:8" x14ac:dyDescent="0.25">
      <c r="H23" s="5">
        <v>2000000</v>
      </c>
    </row>
    <row r="24" spans="7:8" x14ac:dyDescent="0.25">
      <c r="H24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Опросный лист</vt:lpstr>
      <vt:lpstr>Диапазоны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Опросный лист</dc:title>
  <dc:creator>Атомик Софт</dc:creator>
  <cp:lastModifiedBy>Сионина Ольга Владимировна</cp:lastModifiedBy>
  <cp:lastPrinted>2024-01-17T08:45:49Z</cp:lastPrinted>
  <dcterms:created xsi:type="dcterms:W3CDTF">2022-11-25T04:07:59Z</dcterms:created>
  <dcterms:modified xsi:type="dcterms:W3CDTF">2025-10-22T07:21:48Z</dcterms:modified>
</cp:coreProperties>
</file>