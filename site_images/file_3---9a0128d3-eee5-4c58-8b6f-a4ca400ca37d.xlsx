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s.pavlovsky.AUTOMIQ\Downloads\"/>
    </mc:Choice>
  </mc:AlternateContent>
  <xr:revisionPtr revIDLastSave="0" documentId="8_{D82604C6-E8AF-412E-B239-473CFC62921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I-O Helper" sheetId="11" r:id="rId1"/>
  </sheets>
  <calcPr calcId="191029"/>
</workbook>
</file>

<file path=xl/calcChain.xml><?xml version="1.0" encoding="utf-8"?>
<calcChain xmlns="http://schemas.openxmlformats.org/spreadsheetml/2006/main">
  <c r="G15" i="11" l="1"/>
  <c r="G17" i="11"/>
  <c r="G19" i="11"/>
  <c r="G21" i="11"/>
  <c r="G25" i="11" l="1"/>
</calcChain>
</file>

<file path=xl/sharedStrings.xml><?xml version="1.0" encoding="utf-8"?>
<sst xmlns="http://schemas.openxmlformats.org/spreadsheetml/2006/main" count="20" uniqueCount="19">
  <si>
    <t>Простой</t>
  </si>
  <si>
    <t>Средний</t>
  </si>
  <si>
    <t>SCADA Points Calculator</t>
  </si>
  <si>
    <t>Сложный</t>
  </si>
  <si>
    <t>Задать самому</t>
  </si>
  <si>
    <t>Выберите уровень сложности проекта:</t>
  </si>
  <si>
    <t>ПЛК
I/O точки</t>
  </si>
  <si>
    <t>Коэф-фициент</t>
  </si>
  <si>
    <t>Теги
SCADA</t>
  </si>
  <si>
    <t>Требуемый запас по тегам (%):</t>
  </si>
  <si>
    <t>Итого тегов:</t>
  </si>
  <si>
    <r>
      <t>Простой:</t>
    </r>
    <r>
      <rPr>
        <sz val="8"/>
        <color indexed="63"/>
        <rFont val="Arial"/>
        <family val="2"/>
        <charset val="204"/>
      </rPr>
      <t xml:space="preserve"> 
один аларм на каждый дискретный вход (DI);
контроль On/Off каждого дискретного выхода (DO);
аларм High/Low на каждый аналоговый вход;
прямое управление аналоговым выходом (AO)</t>
    </r>
  </si>
  <si>
    <r>
      <t>Средний:</t>
    </r>
    <r>
      <rPr>
        <sz val="8"/>
        <color indexed="63"/>
        <rFont val="Arial"/>
        <family val="2"/>
        <charset val="204"/>
      </rPr>
      <t xml:space="preserve">
один аларм на каждый дискретный вход (DI);
Стандартный режим управления каждым дискретным выходом DO;
HH/H/L/LL алармы на каждый аналоговых вход (AI);
управление аналоговым выходом (AO) при помощи простого ПИД регулятора</t>
    </r>
  </si>
  <si>
    <r>
      <t xml:space="preserve">Сложный: </t>
    </r>
    <r>
      <rPr>
        <sz val="8"/>
        <color indexed="63"/>
        <rFont val="Arial"/>
        <family val="2"/>
        <charset val="204"/>
      </rPr>
      <t xml:space="preserve">
аларм и блокировка (запрет) для каждого дискретного входа (DI);
Режим работы и флаг изменения состояния каждого дискретного выхода (DO);
алармы, а также уставки алармов на каждый аналоговый вход (AI);
комплексное управление аналоговым выходом (AO) с помощью ПИД регулятора</t>
    </r>
  </si>
  <si>
    <r>
      <t xml:space="preserve">Количество </t>
    </r>
    <r>
      <rPr>
        <sz val="10"/>
        <rFont val="Arial"/>
        <family val="2"/>
        <charset val="204"/>
      </rPr>
      <t>дискретных входов</t>
    </r>
    <r>
      <rPr>
        <b/>
        <sz val="10"/>
        <rFont val="Arial"/>
        <family val="2"/>
        <charset val="204"/>
      </rPr>
      <t xml:space="preserve"> </t>
    </r>
    <r>
      <rPr>
        <b/>
        <sz val="10"/>
        <color indexed="12"/>
        <rFont val="Arial"/>
        <family val="2"/>
        <charset val="204"/>
      </rPr>
      <t>(DI)</t>
    </r>
    <r>
      <rPr>
        <sz val="10"/>
        <rFont val="Arial Cyr"/>
        <charset val="204"/>
      </rPr>
      <t xml:space="preserve"> в ПЛК</t>
    </r>
  </si>
  <si>
    <r>
      <t xml:space="preserve">Количество </t>
    </r>
    <r>
      <rPr>
        <sz val="10"/>
        <rFont val="Arial"/>
        <family val="2"/>
        <charset val="204"/>
      </rPr>
      <t xml:space="preserve">дискретных выходов </t>
    </r>
    <r>
      <rPr>
        <b/>
        <sz val="10"/>
        <color indexed="12"/>
        <rFont val="Arial"/>
        <family val="2"/>
        <charset val="204"/>
      </rPr>
      <t>(DO)</t>
    </r>
    <r>
      <rPr>
        <sz val="10"/>
        <rFont val="Arial Cyr"/>
        <charset val="204"/>
      </rPr>
      <t xml:space="preserve"> в ПЛК</t>
    </r>
  </si>
  <si>
    <r>
      <t xml:space="preserve">Количество аналоговых </t>
    </r>
    <r>
      <rPr>
        <sz val="10"/>
        <rFont val="Arial"/>
        <family val="2"/>
        <charset val="204"/>
      </rPr>
      <t xml:space="preserve">входов </t>
    </r>
    <r>
      <rPr>
        <b/>
        <sz val="10"/>
        <color indexed="12"/>
        <rFont val="Arial"/>
        <family val="2"/>
        <charset val="204"/>
      </rPr>
      <t>(AI)</t>
    </r>
    <r>
      <rPr>
        <sz val="10"/>
        <rFont val="Arial Cyr"/>
        <charset val="204"/>
      </rPr>
      <t xml:space="preserve"> в ПЛК</t>
    </r>
  </si>
  <si>
    <r>
      <t xml:space="preserve">Количество аналоговых </t>
    </r>
    <r>
      <rPr>
        <sz val="10"/>
        <rFont val="Arial"/>
        <family val="2"/>
        <charset val="204"/>
      </rPr>
      <t xml:space="preserve">выходов </t>
    </r>
    <r>
      <rPr>
        <b/>
        <sz val="10"/>
        <color indexed="12"/>
        <rFont val="Arial"/>
        <family val="2"/>
        <charset val="204"/>
      </rPr>
      <t>(AO)</t>
    </r>
    <r>
      <rPr>
        <sz val="10"/>
        <rFont val="Arial Cyr"/>
        <charset val="204"/>
      </rPr>
      <t xml:space="preserve"> в ПЛК</t>
    </r>
  </si>
  <si>
    <t>Страница помощи, для определения необходимого количества тегов SCADA исходя из количества физических сигналов контроллера (ПЛК) или иного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</si>
</sst>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 Cyr"/>
      <charset val="204"/>
    </font>
    <font>
      <sz val="10"/>
      <name val="Helv"/>
    </font>
    <font>
      <sz val="8"/>
      <name val="Arial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  <charset val="204"/>
    </font>
    <font>
      <b/>
      <sz val="8"/>
      <color indexed="63"/>
      <name val="Arial"/>
      <family val="2"/>
      <charset val="204"/>
    </font>
    <font>
      <b/>
      <sz val="10"/>
      <color indexed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1" fillId="0" borderId="0" xfId="1" applyProtection="1">
      <protection locked="0"/>
    </xf>
    <xf numFmtId="0" fontId="1" fillId="0" borderId="0" xfId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right"/>
    </xf>
    <xf numFmtId="0" fontId="1" fillId="0" borderId="0" xfId="1" applyAlignment="1">
      <alignment horizontal="center" wrapText="1"/>
    </xf>
    <xf numFmtId="0" fontId="1" fillId="0" borderId="1" xfId="1" applyBorder="1" applyAlignment="1" applyProtection="1">
      <alignment horizontal="center"/>
      <protection locked="0"/>
    </xf>
    <xf numFmtId="0" fontId="1" fillId="0" borderId="1" xfId="1" applyBorder="1" applyAlignment="1">
      <alignment horizontal="center"/>
    </xf>
    <xf numFmtId="9" fontId="1" fillId="0" borderId="1" xfId="1" applyNumberFormat="1" applyBorder="1" applyAlignment="1" applyProtection="1">
      <alignment horizontal="center"/>
      <protection locked="0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0" fontId="1" fillId="0" borderId="0" xfId="1" applyAlignment="1">
      <alignment horizontal="left" wrapText="1"/>
    </xf>
    <xf numFmtId="0" fontId="7" fillId="0" borderId="0" xfId="1" applyFont="1" applyAlignment="1">
      <alignment horizontal="left" wrapText="1"/>
    </xf>
  </cellXfs>
  <cellStyles count="2">
    <cellStyle name="Обычный" xfId="0" builtinId="0"/>
    <cellStyle name="Стиль 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5</xdr:row>
          <xdr:rowOff>114300</xdr:rowOff>
        </xdr:from>
        <xdr:to>
          <xdr:col>6</xdr:col>
          <xdr:colOff>76200</xdr:colOff>
          <xdr:row>7</xdr:row>
          <xdr:rowOff>50800</xdr:rowOff>
        </xdr:to>
        <xdr:sp macro="" textlink="">
          <xdr:nvSpPr>
            <xdr:cNvPr id="7169" name="ComboBox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2:O26"/>
  <sheetViews>
    <sheetView tabSelected="1" topLeftCell="A10" zoomScaleNormal="100" workbookViewId="0">
      <selection activeCell="C19" sqref="C19"/>
    </sheetView>
  </sheetViews>
  <sheetFormatPr defaultColWidth="9.1796875" defaultRowHeight="13" x14ac:dyDescent="0.3"/>
  <cols>
    <col min="1" max="1" width="2.7265625" style="1" customWidth="1"/>
    <col min="2" max="2" width="44.453125" style="1" customWidth="1"/>
    <col min="3" max="3" width="9.7265625" style="1" customWidth="1"/>
    <col min="4" max="4" width="0.7265625" style="1" customWidth="1"/>
    <col min="5" max="5" width="9" style="1" customWidth="1"/>
    <col min="6" max="6" width="0.7265625" style="1" customWidth="1"/>
    <col min="7" max="7" width="8.54296875" style="1" customWidth="1"/>
    <col min="8" max="9" width="9.1796875" style="1"/>
    <col min="10" max="10" width="0" style="1" hidden="1" customWidth="1"/>
    <col min="11" max="12" width="2" style="1" hidden="1" customWidth="1"/>
    <col min="13" max="13" width="3" style="1" hidden="1" customWidth="1"/>
    <col min="14" max="14" width="2" style="1" hidden="1" customWidth="1"/>
    <col min="15" max="15" width="16.54296875" style="1" hidden="1" customWidth="1"/>
    <col min="16" max="16384" width="9.1796875" style="1"/>
  </cols>
  <sheetData>
    <row r="2" spans="2:15" ht="25.5" customHeight="1" x14ac:dyDescent="0.3">
      <c r="B2" s="12" t="s">
        <v>18</v>
      </c>
      <c r="C2" s="12"/>
      <c r="D2" s="12"/>
      <c r="E2" s="12"/>
      <c r="F2" s="12"/>
      <c r="G2" s="12"/>
      <c r="H2" s="12"/>
      <c r="K2" s="1">
        <v>2</v>
      </c>
      <c r="L2" s="1">
        <v>2</v>
      </c>
      <c r="M2" s="1">
        <v>3</v>
      </c>
      <c r="N2" s="1">
        <v>1</v>
      </c>
      <c r="O2" s="1" t="s">
        <v>0</v>
      </c>
    </row>
    <row r="3" spans="2:15" x14ac:dyDescent="0.3">
      <c r="K3" s="1">
        <v>2</v>
      </c>
      <c r="L3" s="1">
        <v>5</v>
      </c>
      <c r="M3" s="1">
        <v>10</v>
      </c>
      <c r="N3" s="1">
        <v>1</v>
      </c>
      <c r="O3" s="1" t="s">
        <v>1</v>
      </c>
    </row>
    <row r="4" spans="2:15" x14ac:dyDescent="0.3">
      <c r="B4" s="4" t="s">
        <v>2</v>
      </c>
      <c r="K4" s="1">
        <v>3</v>
      </c>
      <c r="L4" s="1">
        <v>5</v>
      </c>
      <c r="M4" s="1">
        <v>10</v>
      </c>
      <c r="N4" s="1">
        <v>1</v>
      </c>
      <c r="O4" s="1" t="s">
        <v>3</v>
      </c>
    </row>
    <row r="5" spans="2:15" x14ac:dyDescent="0.3">
      <c r="B5" s="4"/>
      <c r="K5" s="1">
        <v>2</v>
      </c>
      <c r="L5" s="1">
        <v>7</v>
      </c>
      <c r="M5" s="1">
        <v>15</v>
      </c>
      <c r="N5" s="1">
        <v>1</v>
      </c>
      <c r="O5" s="1" t="s">
        <v>4</v>
      </c>
    </row>
    <row r="6" spans="2:15" x14ac:dyDescent="0.3">
      <c r="O6" s="2" t="s">
        <v>3</v>
      </c>
    </row>
    <row r="7" spans="2:15" x14ac:dyDescent="0.3">
      <c r="B7" s="5" t="s">
        <v>5</v>
      </c>
    </row>
    <row r="9" spans="2:15" ht="56.25" customHeight="1" x14ac:dyDescent="0.3">
      <c r="B9" s="13" t="s">
        <v>11</v>
      </c>
      <c r="C9" s="13"/>
      <c r="D9" s="13"/>
      <c r="E9" s="13"/>
      <c r="F9" s="13"/>
      <c r="G9" s="13"/>
    </row>
    <row r="10" spans="2:15" ht="57.75" customHeight="1" x14ac:dyDescent="0.3">
      <c r="B10" s="13" t="s">
        <v>12</v>
      </c>
      <c r="C10" s="13"/>
      <c r="D10" s="13"/>
      <c r="E10" s="13"/>
      <c r="F10" s="13"/>
      <c r="G10" s="13"/>
    </row>
    <row r="11" spans="2:15" ht="57.75" customHeight="1" x14ac:dyDescent="0.3">
      <c r="B11" s="13" t="s">
        <v>13</v>
      </c>
      <c r="C11" s="13"/>
      <c r="D11" s="13"/>
      <c r="E11" s="13"/>
      <c r="F11" s="13"/>
      <c r="G11" s="13"/>
    </row>
    <row r="12" spans="2:15" ht="6" customHeight="1" x14ac:dyDescent="0.3"/>
    <row r="13" spans="2:15" ht="26.25" customHeight="1" x14ac:dyDescent="0.3">
      <c r="C13" s="6" t="s">
        <v>6</v>
      </c>
      <c r="E13" s="6" t="s">
        <v>7</v>
      </c>
      <c r="G13" s="6" t="s">
        <v>8</v>
      </c>
    </row>
    <row r="14" spans="2:15" ht="5.15" customHeight="1" thickBot="1" x14ac:dyDescent="0.35"/>
    <row r="15" spans="2:15" ht="13.5" thickBot="1" x14ac:dyDescent="0.35">
      <c r="B15" s="1" t="s">
        <v>14</v>
      </c>
      <c r="C15" s="7">
        <v>236</v>
      </c>
      <c r="E15" s="7">
        <v>3</v>
      </c>
      <c r="G15" s="8">
        <f>C15*E15</f>
        <v>708</v>
      </c>
    </row>
    <row r="16" spans="2:15" ht="5.15" customHeight="1" thickBot="1" x14ac:dyDescent="0.35">
      <c r="C16" s="3"/>
      <c r="E16" s="3"/>
      <c r="G16" s="3"/>
    </row>
    <row r="17" spans="2:7" ht="13.5" thickBot="1" x14ac:dyDescent="0.35">
      <c r="B17" s="1" t="s">
        <v>15</v>
      </c>
      <c r="C17" s="7">
        <v>143</v>
      </c>
      <c r="E17" s="7">
        <v>10</v>
      </c>
      <c r="G17" s="8">
        <f>C17*E17</f>
        <v>1430</v>
      </c>
    </row>
    <row r="18" spans="2:7" ht="5.15" customHeight="1" thickBot="1" x14ac:dyDescent="0.35">
      <c r="C18" s="3"/>
      <c r="E18" s="3"/>
      <c r="G18" s="3"/>
    </row>
    <row r="19" spans="2:7" ht="13.5" thickBot="1" x14ac:dyDescent="0.35">
      <c r="B19" s="1" t="s">
        <v>16</v>
      </c>
      <c r="C19" s="7">
        <v>131</v>
      </c>
      <c r="E19" s="7">
        <v>10</v>
      </c>
      <c r="G19" s="8">
        <f>C19*E19</f>
        <v>1310</v>
      </c>
    </row>
    <row r="20" spans="2:7" ht="5.15" customHeight="1" thickBot="1" x14ac:dyDescent="0.35">
      <c r="C20" s="3"/>
      <c r="E20" s="3"/>
      <c r="G20" s="3"/>
    </row>
    <row r="21" spans="2:7" ht="13.5" thickBot="1" x14ac:dyDescent="0.35">
      <c r="B21" s="1" t="s">
        <v>17</v>
      </c>
      <c r="C21" s="7">
        <v>5</v>
      </c>
      <c r="E21" s="7">
        <v>15</v>
      </c>
      <c r="G21" s="8">
        <f>C21*E21</f>
        <v>75</v>
      </c>
    </row>
    <row r="22" spans="2:7" ht="5.15" customHeight="1" thickBot="1" x14ac:dyDescent="0.35">
      <c r="C22" s="3"/>
    </row>
    <row r="23" spans="2:7" ht="13.5" thickBot="1" x14ac:dyDescent="0.35">
      <c r="B23" s="1" t="s">
        <v>9</v>
      </c>
      <c r="C23" s="9">
        <v>0</v>
      </c>
    </row>
    <row r="24" spans="2:7" ht="5.15" customHeight="1" thickBot="1" x14ac:dyDescent="0.35"/>
    <row r="25" spans="2:7" ht="13.5" thickBot="1" x14ac:dyDescent="0.35">
      <c r="B25" s="10"/>
      <c r="C25" s="11" t="s">
        <v>10</v>
      </c>
      <c r="D25" s="11"/>
      <c r="E25" s="11"/>
      <c r="G25" s="8">
        <f>ROUNDUP((G15+G17+G19+G21)*(1+C23),0)</f>
        <v>3523</v>
      </c>
    </row>
    <row r="26" spans="2:7" ht="5.15" customHeight="1" x14ac:dyDescent="0.3"/>
  </sheetData>
  <sheetProtection password="DE3E" sheet="1" objects="1" scenarios="1" selectLockedCells="1"/>
  <mergeCells count="5">
    <mergeCell ref="C25:E25"/>
    <mergeCell ref="B2:H2"/>
    <mergeCell ref="B10:G10"/>
    <mergeCell ref="B9:G9"/>
    <mergeCell ref="B11:G11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169" r:id="rId4" name="ComboBox1">
          <controlPr defaultSize="0" autoLine="0" autoPict="0" linkedCell="O6" listFillRange="O2:O5" r:id="rId5">
            <anchor moveWithCells="1">
              <from>
                <xdr:col>2</xdr:col>
                <xdr:colOff>50800</xdr:colOff>
                <xdr:row>5</xdr:row>
                <xdr:rowOff>114300</xdr:rowOff>
              </from>
              <to>
                <xdr:col>6</xdr:col>
                <xdr:colOff>76200</xdr:colOff>
                <xdr:row>7</xdr:row>
                <xdr:rowOff>50800</xdr:rowOff>
              </to>
            </anchor>
          </controlPr>
        </control>
      </mc:Choice>
      <mc:Fallback>
        <control shapeId="7169" r:id="rId4" name="Combo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I-O Helper</vt:lpstr>
    </vt:vector>
  </TitlesOfParts>
  <Company>-=SE=-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Павловский Станислав Валерьевич</cp:lastModifiedBy>
  <cp:lastPrinted>2010-05-12T12:03:27Z</cp:lastPrinted>
  <dcterms:created xsi:type="dcterms:W3CDTF">2009-06-21T13:16:51Z</dcterms:created>
  <dcterms:modified xsi:type="dcterms:W3CDTF">2026-02-10T09:48:50Z</dcterms:modified>
</cp:coreProperties>
</file>